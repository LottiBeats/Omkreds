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510" yWindow="-14930" windowWidth="38620" windowHeight="25100" tabRatio="600" firstSheet="0" activeTab="0" autoFilterDateGrouping="1"/>
  </bookViews>
  <sheets>
    <sheet name="Honoraroverslag (KON)" sheetId="1" state="visible" r:id="rId1"/>
  </sheets>
  <definedNames/>
  <calcPr calcId="191028" fullCalcOnLoad="1"/>
</workbook>
</file>

<file path=xl/styles.xml><?xml version="1.0" encoding="utf-8"?>
<styleSheet xmlns="http://schemas.openxmlformats.org/spreadsheetml/2006/main">
  <numFmts count="9">
    <numFmt numFmtId="164" formatCode="0.0"/>
    <numFmt numFmtId="165" formatCode="_-* #,##0\ &quot;kr.&quot;_-;\-* #,##0\ &quot;kr.&quot;_-;_-* &quot;-&quot;??\ &quot;kr.&quot;_-;_-@_-"/>
    <numFmt numFmtId="166" formatCode="#,##0.00\ &quot;kr.&quot;"/>
    <numFmt numFmtId="167" formatCode="0\t"/>
    <numFmt numFmtId="168" formatCode="#,##0.00\ [$kr.-406]"/>
    <numFmt numFmtId="169" formatCode="#,##0\ [$kr.-406]"/>
    <numFmt numFmtId="170" formatCode="#,##0&quot; kr.&quot;;\(#,##0&quot; kr.)&quot;;\-"/>
    <numFmt numFmtId="171" formatCode="0.0%"/>
    <numFmt numFmtId="172" formatCode="dd\-mm\-yyyy"/>
  </numFmts>
  <fonts count="61">
    <font>
      <name val="Calibri"/>
      <family val="2"/>
      <color theme="1"/>
      <sz val="11"/>
      <scheme val="minor"/>
    </font>
    <font>
      <name val="Calibri"/>
      <family val="2"/>
      <b val="1"/>
      <color theme="1"/>
      <sz val="11"/>
      <scheme val="minor"/>
    </font>
    <font>
      <name val="Calibri"/>
      <family val="2"/>
      <i val="1"/>
      <color theme="1"/>
      <sz val="9"/>
      <u val="single"/>
      <scheme val="minor"/>
    </font>
    <font>
      <name val="Calibri"/>
      <family val="2"/>
      <color theme="1"/>
      <sz val="9"/>
      <scheme val="minor"/>
    </font>
    <font>
      <name val="Calibri"/>
      <family val="2"/>
      <b val="1"/>
      <color theme="1"/>
      <sz val="20"/>
      <scheme val="minor"/>
    </font>
    <font>
      <name val="Calibri"/>
      <family val="2"/>
      <color theme="1"/>
      <sz val="20"/>
      <scheme val="minor"/>
    </font>
    <font>
      <name val="Calibri"/>
      <family val="2"/>
      <b val="1"/>
      <color theme="1"/>
      <sz val="14"/>
      <scheme val="minor"/>
    </font>
    <font>
      <name val="Calibri"/>
      <family val="2"/>
      <color theme="1"/>
      <sz val="12"/>
      <scheme val="minor"/>
    </font>
    <font>
      <name val="Calibri"/>
      <family val="2"/>
      <b val="1"/>
      <color theme="1"/>
      <sz val="12"/>
      <scheme val="minor"/>
    </font>
    <font>
      <name val="Calibri"/>
      <family val="2"/>
      <b val="1"/>
      <i val="1"/>
      <color theme="1"/>
      <sz val="12"/>
      <scheme val="minor"/>
    </font>
    <font>
      <name val="Calibri"/>
      <family val="2"/>
      <color theme="2" tint="-0.499984740745262"/>
      <sz val="11"/>
      <scheme val="minor"/>
    </font>
    <font>
      <name val="Calibri"/>
      <family val="2"/>
      <b val="1"/>
      <i val="1"/>
      <color theme="0"/>
      <sz val="14"/>
      <scheme val="minor"/>
    </font>
    <font>
      <name val="Calibri"/>
      <family val="2"/>
      <b val="1"/>
      <i val="1"/>
      <color theme="0"/>
      <sz val="16"/>
      <scheme val="minor"/>
    </font>
    <font>
      <name val="Calibri"/>
      <family val="2"/>
      <color rgb="FFFF0000"/>
      <sz val="11"/>
      <scheme val="minor"/>
    </font>
    <font>
      <name val="Calibri"/>
      <family val="2"/>
      <color rgb="FFFF0000"/>
      <sz val="12"/>
      <scheme val="minor"/>
    </font>
    <font>
      <name val="Calibri"/>
      <family val="2"/>
      <sz val="16"/>
      <scheme val="minor"/>
    </font>
    <font>
      <name val="Calibri"/>
      <family val="2"/>
      <color theme="1"/>
      <sz val="11"/>
      <scheme val="minor"/>
    </font>
    <font>
      <name val="Calibri"/>
      <family val="2"/>
      <sz val="11"/>
      <scheme val="minor"/>
    </font>
    <font>
      <name val="Calibri"/>
      <family val="2"/>
      <color theme="0"/>
      <sz val="11"/>
      <scheme val="minor"/>
    </font>
    <font>
      <name val="Calibri Light"/>
      <family val="2"/>
      <color theme="1"/>
      <sz val="12"/>
      <u val="single"/>
      <scheme val="major"/>
    </font>
    <font>
      <name val="Calibri Light"/>
      <family val="2"/>
      <color theme="1"/>
      <sz val="12"/>
      <scheme val="major"/>
    </font>
    <font>
      <name val="Calibri Light"/>
      <family val="2"/>
      <color theme="1"/>
      <sz val="11"/>
      <scheme val="major"/>
    </font>
    <font>
      <name val="Calibri Light"/>
      <family val="2"/>
      <b val="1"/>
      <sz val="11"/>
      <scheme val="major"/>
    </font>
    <font>
      <name val="Calibri Light"/>
      <family val="2"/>
      <sz val="11"/>
      <scheme val="major"/>
    </font>
    <font>
      <name val="Calibri Light"/>
      <family val="2"/>
      <b val="1"/>
      <color theme="1"/>
      <sz val="12"/>
      <scheme val="major"/>
    </font>
    <font>
      <name val="Calibri Light"/>
      <family val="2"/>
      <sz val="12"/>
      <scheme val="major"/>
    </font>
    <font>
      <name val="Calibri"/>
      <family val="2"/>
      <color theme="1"/>
      <sz val="36"/>
      <scheme val="minor"/>
    </font>
    <font>
      <name val="Calibri Light"/>
      <family val="2"/>
      <color rgb="FF000000"/>
      <sz val="12"/>
      <scheme val="major"/>
    </font>
    <font>
      <name val="Calibri Light"/>
      <family val="2"/>
      <b val="1"/>
      <sz val="12"/>
      <scheme val="major"/>
    </font>
    <font>
      <name val="Calibri"/>
      <family val="2"/>
      <i val="1"/>
      <sz val="11"/>
      <scheme val="minor"/>
    </font>
    <font>
      <name val="Calibri"/>
      <family val="2"/>
      <color theme="2" tint="-0.499984740745262"/>
      <sz val="11"/>
      <u val="single"/>
      <scheme val="minor"/>
    </font>
    <font>
      <name val="Calibri"/>
      <family val="2"/>
      <i val="1"/>
      <color theme="1"/>
      <sz val="11"/>
      <scheme val="minor"/>
    </font>
    <font>
      <name val="Calibri Light"/>
      <family val="2"/>
      <b val="1"/>
      <color theme="1"/>
      <sz val="12"/>
    </font>
    <font>
      <name val="Calibri Light"/>
      <family val="2"/>
      <b val="1"/>
      <color rgb="FF000000"/>
      <sz val="12"/>
      <scheme val="major"/>
    </font>
    <font>
      <name val="Calibri Light"/>
      <family val="2"/>
      <i val="1"/>
      <color theme="1"/>
      <sz val="12"/>
      <scheme val="major"/>
    </font>
    <font>
      <name val="Calibri Light"/>
      <family val="2"/>
      <color rgb="FFFF0000"/>
      <sz val="12"/>
      <scheme val="major"/>
    </font>
    <font>
      <name val="Calibri"/>
      <family val="2"/>
      <color theme="1"/>
      <sz val="18"/>
      <scheme val="minor"/>
    </font>
    <font>
      <name val="Calibri"/>
      <family val="2"/>
      <color theme="2" tint="-0.249977111117893"/>
      <sz val="11"/>
      <scheme val="minor"/>
    </font>
    <font>
      <name val="Calibri"/>
      <family val="2"/>
      <color theme="1"/>
      <sz val="14"/>
      <scheme val="minor"/>
    </font>
    <font>
      <name val="Calibri"/>
      <family val="2"/>
      <color theme="0"/>
      <sz val="12"/>
      <scheme val="minor"/>
    </font>
    <font>
      <name val="Calibri"/>
      <family val="2"/>
      <b val="1"/>
      <i val="1"/>
      <sz val="11"/>
      <scheme val="minor"/>
    </font>
    <font>
      <name val="Calibri"/>
      <family val="2"/>
      <b val="1"/>
      <sz val="12"/>
      <scheme val="minor"/>
    </font>
    <font>
      <name val="Calibri Light"/>
      <family val="2"/>
      <color rgb="FF000000"/>
      <sz val="10"/>
      <scheme val="major"/>
    </font>
    <font>
      <name val="Calibri Light"/>
      <family val="2"/>
      <color theme="1"/>
      <sz val="10"/>
      <scheme val="major"/>
    </font>
    <font>
      <name val="Calibri Light"/>
      <family val="2"/>
      <b val="1"/>
      <color rgb="FF000000"/>
      <sz val="16"/>
      <scheme val="major"/>
    </font>
    <font>
      <name val="Calibri Light"/>
      <family val="2"/>
      <b val="1"/>
      <color theme="1"/>
      <sz val="16"/>
      <scheme val="major"/>
    </font>
    <font>
      <name val="Calibri Light"/>
      <family val="2"/>
      <b val="1"/>
      <i val="1"/>
      <color theme="1"/>
      <sz val="12"/>
      <scheme val="major"/>
    </font>
    <font>
      <name val="Calibri"/>
      <family val="2"/>
      <b val="1"/>
      <i val="1"/>
      <color theme="1"/>
      <sz val="11"/>
      <u val="single"/>
      <scheme val="minor"/>
    </font>
    <font>
      <name val="Calibri"/>
      <family val="2"/>
      <color theme="4"/>
      <sz val="11"/>
      <scheme val="minor"/>
    </font>
    <font>
      <name val="Calibri"/>
      <family val="2"/>
      <b val="1"/>
      <color rgb="FFFF0000"/>
      <sz val="11"/>
      <scheme val="minor"/>
    </font>
    <font>
      <name val="Calibri"/>
      <family val="2"/>
      <b val="1"/>
      <i val="1"/>
      <color rgb="FFFF0000"/>
      <sz val="11"/>
      <u val="single"/>
      <scheme val="minor"/>
    </font>
    <font>
      <name val="Calibri"/>
      <family val="2"/>
      <i val="1"/>
      <color rgb="FFFF0000"/>
      <sz val="11"/>
      <scheme val="minor"/>
    </font>
    <font>
      <name val="Calibri"/>
      <family val="2"/>
      <b val="1"/>
      <color rgb="FF1F3864"/>
      <sz val="16"/>
      <scheme val="minor"/>
    </font>
    <font>
      <name val="Calibri"/>
      <family val="2"/>
      <i val="1"/>
      <color rgb="FF7F7F7F"/>
      <sz val="9"/>
      <scheme val="minor"/>
    </font>
    <font>
      <name val="Calibri"/>
      <family val="2"/>
      <b val="1"/>
      <color rgb="FFFFFFFF"/>
      <sz val="11"/>
      <scheme val="minor"/>
    </font>
    <font>
      <name val="Calibri"/>
      <family val="2"/>
      <sz val="10"/>
      <scheme val="minor"/>
    </font>
    <font>
      <name val="Calibri"/>
      <family val="2"/>
      <color rgb="FF0000FF"/>
      <sz val="10"/>
      <scheme val="minor"/>
    </font>
    <font>
      <name val="Calibri"/>
      <family val="2"/>
      <b val="1"/>
      <sz val="10"/>
      <scheme val="minor"/>
    </font>
    <font>
      <name val="Calibri"/>
      <family val="2"/>
      <b val="1"/>
      <color rgb="FFFFFFFF"/>
      <sz val="10"/>
      <scheme val="minor"/>
    </font>
    <font>
      <name val="Calibri"/>
      <family val="2"/>
      <color rgb="FF000000"/>
      <sz val="10"/>
      <scheme val="minor"/>
    </font>
    <font>
      <name val="Calibri"/>
      <family val="2"/>
      <color theme="1"/>
      <sz val="10"/>
      <scheme val="minor"/>
    </font>
  </fonts>
  <fills count="21">
    <fill>
      <patternFill/>
    </fill>
    <fill>
      <patternFill patternType="gray125"/>
    </fill>
    <fill>
      <patternFill patternType="solid">
        <fgColor theme="2"/>
        <bgColor indexed="64"/>
      </patternFill>
    </fill>
    <fill>
      <patternFill patternType="solid">
        <fgColor theme="4" tint="0.7999816888943144"/>
        <bgColor indexed="64"/>
      </patternFill>
    </fill>
    <fill>
      <patternFill patternType="solid">
        <fgColor theme="9" tint="0.7999816888943144"/>
        <bgColor indexed="64"/>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4" tint="0.5999938962981048"/>
        <bgColor indexed="64"/>
      </patternFill>
    </fill>
    <fill>
      <patternFill patternType="solid">
        <fgColor theme="9"/>
        <bgColor indexed="64"/>
      </patternFill>
    </fill>
    <fill>
      <patternFill patternType="solid">
        <fgColor theme="5"/>
        <bgColor indexed="64"/>
      </patternFill>
    </fill>
    <fill>
      <patternFill patternType="solid">
        <fgColor theme="0" tint="-0.1499984740745262"/>
        <bgColor indexed="64"/>
      </patternFill>
    </fill>
    <fill>
      <patternFill patternType="solid">
        <fgColor theme="5" tint="0.7999816888943144"/>
        <bgColor indexed="64"/>
      </patternFill>
    </fill>
    <fill>
      <patternFill patternType="solid">
        <fgColor theme="7"/>
        <bgColor indexed="64"/>
      </patternFill>
    </fill>
    <fill>
      <patternFill patternType="solid">
        <fgColor theme="1" tint="0.249977111117893"/>
        <bgColor indexed="64"/>
      </patternFill>
    </fill>
    <fill>
      <patternFill patternType="solid">
        <fgColor rgb="FF1F3864"/>
        <bgColor rgb="FF333333"/>
      </patternFill>
    </fill>
    <fill>
      <patternFill patternType="solid">
        <fgColor rgb="FFFFFF00"/>
        <bgColor rgb="FFFFFF00"/>
      </patternFill>
    </fill>
    <fill>
      <patternFill patternType="solid">
        <fgColor rgb="FFD9D9D9"/>
        <bgColor rgb="FFBFBFBF"/>
      </patternFill>
    </fill>
    <fill>
      <patternFill patternType="solid">
        <fgColor rgb="FF4472C4"/>
        <bgColor rgb="FF0066CC"/>
      </patternFill>
    </fill>
    <fill>
      <patternFill patternType="solid">
        <fgColor rgb="FF595959"/>
        <bgColor rgb="FF7F7F7F"/>
      </patternFill>
    </fill>
  </fills>
  <borders count="23">
    <border>
      <left/>
      <right/>
      <top/>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7">
    <xf numFmtId="0" fontId="16" fillId="0" borderId="0"/>
    <xf numFmtId="44" fontId="16" fillId="0" borderId="0"/>
    <xf numFmtId="0" fontId="18" fillId="5" borderId="0"/>
    <xf numFmtId="0" fontId="16" fillId="6" borderId="0"/>
    <xf numFmtId="0" fontId="16" fillId="7" borderId="0"/>
    <xf numFmtId="0" fontId="16" fillId="8" borderId="0"/>
    <xf numFmtId="9" fontId="16" fillId="0" borderId="0"/>
  </cellStyleXfs>
  <cellXfs count="280">
    <xf numFmtId="0" fontId="0" fillId="0" borderId="0" pivotButton="0" quotePrefix="0" xfId="0"/>
    <xf numFmtId="0" fontId="3" fillId="0" borderId="0" pivotButton="0" quotePrefix="0" xfId="0"/>
    <xf numFmtId="0" fontId="2" fillId="2" borderId="3" pivotButton="0" quotePrefix="0" xfId="0"/>
    <xf numFmtId="0" fontId="4" fillId="0" borderId="0" pivotButton="0" quotePrefix="0" xfId="0"/>
    <xf numFmtId="0" fontId="5" fillId="0" borderId="0" pivotButton="0" quotePrefix="0" xfId="0"/>
    <xf numFmtId="0" fontId="0" fillId="0" borderId="8" pivotButton="0" quotePrefix="0" xfId="0"/>
    <xf numFmtId="49" fontId="6" fillId="0" borderId="0" pivotButton="0" quotePrefix="0" xfId="0"/>
    <xf numFmtId="49" fontId="0" fillId="0" borderId="0" pivotButton="0" quotePrefix="0" xfId="0"/>
    <xf numFmtId="49" fontId="6" fillId="0" borderId="0" applyAlignment="1" pivotButton="0" quotePrefix="0" xfId="0">
      <alignment horizontal="center"/>
    </xf>
    <xf numFmtId="0" fontId="0" fillId="0" borderId="2" pivotButton="0" quotePrefix="0" xfId="0"/>
    <xf numFmtId="0" fontId="1" fillId="0" borderId="2" pivotButton="0" quotePrefix="0" xfId="0"/>
    <xf numFmtId="49" fontId="4" fillId="0" borderId="1" pivotButton="0" quotePrefix="0" xfId="0"/>
    <xf numFmtId="49" fontId="5" fillId="0" borderId="1" pivotButton="0" quotePrefix="0" xfId="0"/>
    <xf numFmtId="49" fontId="5" fillId="2" borderId="4" pivotButton="0" quotePrefix="0" xfId="0"/>
    <xf numFmtId="0" fontId="3" fillId="2" borderId="6" pivotButton="0" quotePrefix="0" xfId="0"/>
    <xf numFmtId="49" fontId="7" fillId="2" borderId="6" applyAlignment="1" pivotButton="0" quotePrefix="0" xfId="0">
      <alignment horizontal="center"/>
    </xf>
    <xf numFmtId="164" fontId="0" fillId="3" borderId="7" pivotButton="0" quotePrefix="0" xfId="0"/>
    <xf numFmtId="164" fontId="0" fillId="3" borderId="6" pivotButton="0" quotePrefix="0" xfId="0"/>
    <xf numFmtId="0" fontId="0" fillId="3" borderId="7" pivotButton="0" quotePrefix="0" xfId="0"/>
    <xf numFmtId="49" fontId="7" fillId="0" borderId="0" applyAlignment="1" pivotButton="0" quotePrefix="0" xfId="0">
      <alignment horizontal="left" vertical="top"/>
    </xf>
    <xf numFmtId="0" fontId="8" fillId="0" borderId="0" pivotButton="0" quotePrefix="0" xfId="0"/>
    <xf numFmtId="49" fontId="9" fillId="0" borderId="0" applyAlignment="1" pivotButton="0" quotePrefix="0" xfId="0">
      <alignment horizontal="right"/>
    </xf>
    <xf numFmtId="0" fontId="0" fillId="3" borderId="2" pivotButton="0" quotePrefix="0" xfId="0"/>
    <xf numFmtId="164" fontId="10" fillId="3" borderId="7" pivotButton="0" quotePrefix="0" xfId="0"/>
    <xf numFmtId="0" fontId="10" fillId="2" borderId="0" pivotButton="0" quotePrefix="0" xfId="0"/>
    <xf numFmtId="0" fontId="10" fillId="2" borderId="7" pivotButton="0" quotePrefix="0" xfId="0"/>
    <xf numFmtId="0" fontId="10" fillId="0" borderId="2" pivotButton="0" quotePrefix="0" xfId="0"/>
    <xf numFmtId="0" fontId="10" fillId="3" borderId="7" pivotButton="0" quotePrefix="0" xfId="0"/>
    <xf numFmtId="1" fontId="10" fillId="2" borderId="7" pivotButton="0" quotePrefix="0" xfId="0"/>
    <xf numFmtId="49" fontId="14" fillId="0" borderId="0" applyAlignment="1" pivotButton="0" quotePrefix="0" xfId="0">
      <alignment horizontal="left" vertical="top"/>
    </xf>
    <xf numFmtId="164" fontId="13" fillId="3" borderId="7" pivotButton="0" quotePrefix="0" xfId="0"/>
    <xf numFmtId="165" fontId="17" fillId="0" borderId="0" pivotButton="0" quotePrefix="0" xfId="1"/>
    <xf numFmtId="0" fontId="21" fillId="0" borderId="0" pivotButton="0" quotePrefix="0" xfId="0"/>
    <xf numFmtId="1" fontId="23" fillId="0" borderId="0" pivotButton="0" quotePrefix="0" xfId="0"/>
    <xf numFmtId="0" fontId="23" fillId="0" borderId="11" pivotButton="0" quotePrefix="0" xfId="0"/>
    <xf numFmtId="1" fontId="23" fillId="0" borderId="11" pivotButton="0" quotePrefix="0" xfId="0"/>
    <xf numFmtId="0" fontId="20" fillId="0" borderId="0" pivotButton="0" quotePrefix="0" xfId="0"/>
    <xf numFmtId="0" fontId="20" fillId="0" borderId="1" pivotButton="0" quotePrefix="0" xfId="0"/>
    <xf numFmtId="0" fontId="20" fillId="0" borderId="0" applyAlignment="1" pivotButton="0" quotePrefix="0" xfId="0">
      <alignment horizontal="left" vertical="top" wrapText="1"/>
    </xf>
    <xf numFmtId="0" fontId="19" fillId="0" borderId="0" applyAlignment="1" pivotButton="0" quotePrefix="0" xfId="0">
      <alignment vertical="top"/>
    </xf>
    <xf numFmtId="0" fontId="20" fillId="0" borderId="0" applyAlignment="1" pivotButton="0" quotePrefix="0" xfId="0">
      <alignment vertical="center"/>
    </xf>
    <xf numFmtId="0" fontId="20" fillId="0" borderId="0" applyAlignment="1" pivotButton="0" quotePrefix="0" xfId="0">
      <alignment wrapText="1"/>
    </xf>
    <xf numFmtId="0" fontId="25" fillId="0" borderId="0" applyAlignment="1" pivotButton="0" quotePrefix="0" xfId="0">
      <alignment vertical="center"/>
    </xf>
    <xf numFmtId="0" fontId="27" fillId="0" borderId="0" applyAlignment="1" pivotButton="0" quotePrefix="0" xfId="0">
      <alignment vertical="center"/>
    </xf>
    <xf numFmtId="0" fontId="28" fillId="0" borderId="0" pivotButton="0" quotePrefix="0" xfId="0"/>
    <xf numFmtId="0" fontId="15" fillId="0" borderId="0" pivotButton="0" quotePrefix="0" xfId="0"/>
    <xf numFmtId="0" fontId="11" fillId="9" borderId="5" pivotButton="0" quotePrefix="0" xfId="0"/>
    <xf numFmtId="164" fontId="0" fillId="0" borderId="0" pivotButton="0" quotePrefix="0" xfId="0"/>
    <xf numFmtId="0" fontId="17" fillId="3" borderId="7" pivotButton="0" quotePrefix="0" xfId="0"/>
    <xf numFmtId="0" fontId="17" fillId="0" borderId="2" pivotButton="0" quotePrefix="0" xfId="0"/>
    <xf numFmtId="0" fontId="29" fillId="0" borderId="2" pivotButton="0" quotePrefix="0" xfId="0"/>
    <xf numFmtId="164" fontId="17" fillId="3" borderId="6" pivotButton="0" quotePrefix="0" xfId="0"/>
    <xf numFmtId="164" fontId="17" fillId="0" borderId="1" pivotButton="0" quotePrefix="0" xfId="0"/>
    <xf numFmtId="164" fontId="1" fillId="0" borderId="1" pivotButton="0" quotePrefix="0" xfId="0"/>
    <xf numFmtId="166" fontId="0" fillId="0" borderId="0" pivotButton="0" quotePrefix="0" xfId="0"/>
    <xf numFmtId="0" fontId="11" fillId="10" borderId="5" pivotButton="0" quotePrefix="0" xfId="0"/>
    <xf numFmtId="0" fontId="17" fillId="4" borderId="0" pivotButton="0" quotePrefix="0" xfId="0"/>
    <xf numFmtId="1" fontId="17" fillId="3" borderId="7" pivotButton="0" quotePrefix="0" xfId="0"/>
    <xf numFmtId="0" fontId="30" fillId="2" borderId="7" pivotButton="0" quotePrefix="0" xfId="0"/>
    <xf numFmtId="0" fontId="17" fillId="2" borderId="2" pivotButton="0" quotePrefix="0" xfId="0"/>
    <xf numFmtId="0" fontId="17" fillId="2" borderId="7" pivotButton="0" quotePrefix="0" xfId="0"/>
    <xf numFmtId="0" fontId="16" fillId="6" borderId="0" pivotButton="0" quotePrefix="0" xfId="3"/>
    <xf numFmtId="0" fontId="16" fillId="7" borderId="2" pivotButton="0" quotePrefix="0" xfId="4"/>
    <xf numFmtId="0" fontId="16" fillId="8" borderId="2" pivotButton="0" quotePrefix="0" xfId="5"/>
    <xf numFmtId="0" fontId="18" fillId="5" borderId="2" pivotButton="0" quotePrefix="0" xfId="2"/>
    <xf numFmtId="0" fontId="12" fillId="11" borderId="10" pivotButton="0" quotePrefix="0" xfId="0"/>
    <xf numFmtId="0" fontId="31" fillId="0" borderId="0" pivotButton="0" quotePrefix="0" xfId="0"/>
    <xf numFmtId="164" fontId="17" fillId="3" borderId="7" pivotButton="0" quotePrefix="0" xfId="0"/>
    <xf numFmtId="0" fontId="13" fillId="0" borderId="2" pivotButton="0" quotePrefix="0" xfId="0"/>
    <xf numFmtId="1" fontId="8" fillId="0" borderId="0" pivotButton="0" quotePrefix="0" xfId="0"/>
    <xf numFmtId="0" fontId="0" fillId="8" borderId="5" pivotButton="0" quotePrefix="0" xfId="5"/>
    <xf numFmtId="167" fontId="22" fillId="0" borderId="0" applyAlignment="1" pivotButton="0" quotePrefix="0" xfId="0">
      <alignment horizontal="right"/>
    </xf>
    <xf numFmtId="167" fontId="22" fillId="0" borderId="0" pivotButton="0" quotePrefix="0" xfId="0"/>
    <xf numFmtId="0" fontId="25" fillId="0" borderId="0" applyAlignment="1" pivotButton="0" quotePrefix="0" xfId="0">
      <alignment horizontal="left" indent="2"/>
    </xf>
    <xf numFmtId="165" fontId="25" fillId="0" borderId="0" pivotButton="0" quotePrefix="0" xfId="1"/>
    <xf numFmtId="167" fontId="28" fillId="0" borderId="0" applyAlignment="1" pivotButton="0" quotePrefix="0" xfId="0">
      <alignment horizontal="right"/>
    </xf>
    <xf numFmtId="167" fontId="28" fillId="0" borderId="0" pivotButton="0" quotePrefix="0" xfId="0"/>
    <xf numFmtId="1" fontId="25" fillId="0" borderId="0" applyAlignment="1" pivotButton="0" quotePrefix="0" xfId="0">
      <alignment horizontal="right"/>
    </xf>
    <xf numFmtId="1" fontId="25" fillId="0" borderId="0" pivotButton="0" quotePrefix="0" xfId="0"/>
    <xf numFmtId="0" fontId="28" fillId="0" borderId="1" pivotButton="0" quotePrefix="0" xfId="0"/>
    <xf numFmtId="165" fontId="25" fillId="0" borderId="1" pivotButton="0" quotePrefix="0" xfId="1"/>
    <xf numFmtId="0" fontId="25" fillId="0" borderId="0" pivotButton="0" quotePrefix="0" xfId="0"/>
    <xf numFmtId="167" fontId="24" fillId="0" borderId="0" pivotButton="0" quotePrefix="0" xfId="0"/>
    <xf numFmtId="0" fontId="24" fillId="0" borderId="0" pivotButton="0" quotePrefix="0" xfId="0"/>
    <xf numFmtId="0" fontId="0" fillId="0" borderId="1" pivotButton="0" quotePrefix="0" xfId="0"/>
    <xf numFmtId="0" fontId="20" fillId="0" borderId="0" applyAlignment="1" pivotButton="0" quotePrefix="0" xfId="0">
      <alignment horizontal="left" vertical="center" indent="3"/>
    </xf>
    <xf numFmtId="0" fontId="20" fillId="0" borderId="0" applyAlignment="1" pivotButton="0" quotePrefix="0" xfId="0">
      <alignment horizontal="left" vertical="center"/>
    </xf>
    <xf numFmtId="0" fontId="20" fillId="0" borderId="0" applyAlignment="1" pivotButton="0" quotePrefix="0" xfId="0">
      <alignment horizontal="left"/>
    </xf>
    <xf numFmtId="0" fontId="32" fillId="0" borderId="0" applyAlignment="1" pivotButton="0" quotePrefix="0" xfId="0">
      <alignment vertical="center"/>
    </xf>
    <xf numFmtId="0" fontId="19" fillId="0" borderId="0" pivotButton="0" quotePrefix="0" xfId="0"/>
    <xf numFmtId="0" fontId="33" fillId="0" borderId="0" applyAlignment="1" pivotButton="0" quotePrefix="0" xfId="0">
      <alignment vertical="center"/>
    </xf>
    <xf numFmtId="0" fontId="24" fillId="0" borderId="1" applyAlignment="1" pivotButton="0" quotePrefix="0" xfId="0">
      <alignment horizontal="left" vertical="top"/>
    </xf>
    <xf numFmtId="0" fontId="34" fillId="0" borderId="1" pivotButton="0" quotePrefix="0" xfId="0"/>
    <xf numFmtId="0" fontId="24" fillId="0" borderId="0" applyAlignment="1" pivotButton="0" quotePrefix="0" xfId="0">
      <alignment horizontal="left" vertical="top"/>
    </xf>
    <xf numFmtId="0" fontId="34" fillId="0" borderId="0" pivotButton="0" quotePrefix="0" xfId="0"/>
    <xf numFmtId="0" fontId="20" fillId="0" borderId="0" applyAlignment="1" pivotButton="0" quotePrefix="0" xfId="0">
      <alignment horizontal="left" vertical="center" indent="2"/>
    </xf>
    <xf numFmtId="165" fontId="34" fillId="0" borderId="1" pivotButton="0" quotePrefix="0" xfId="0"/>
    <xf numFmtId="0" fontId="34" fillId="0" borderId="1" applyAlignment="1" pivotButton="0" quotePrefix="0" xfId="0">
      <alignment horizontal="right"/>
    </xf>
    <xf numFmtId="0" fontId="19" fillId="0" borderId="0" applyAlignment="1" pivotButton="0" quotePrefix="0" xfId="0">
      <alignment horizontal="left" vertical="top" wrapText="1"/>
    </xf>
    <xf numFmtId="14" fontId="20" fillId="0" borderId="0" applyAlignment="1" pivotButton="0" quotePrefix="0" xfId="0">
      <alignment horizontal="left"/>
    </xf>
    <xf numFmtId="49" fontId="7" fillId="0" borderId="12" applyAlignment="1" pivotButton="0" quotePrefix="0" xfId="0">
      <alignment horizontal="center"/>
    </xf>
    <xf numFmtId="49" fontId="7" fillId="0" borderId="11" applyAlignment="1" pivotButton="0" quotePrefix="0" xfId="0">
      <alignment horizontal="center"/>
    </xf>
    <xf numFmtId="0" fontId="3" fillId="0" borderId="13" pivotButton="0" quotePrefix="0" xfId="0"/>
    <xf numFmtId="0" fontId="3" fillId="0" borderId="14" pivotButton="0" quotePrefix="0" xfId="0"/>
    <xf numFmtId="0" fontId="3" fillId="0" borderId="2" pivotButton="0" quotePrefix="0" xfId="0"/>
    <xf numFmtId="164" fontId="0" fillId="0" borderId="14" pivotButton="0" quotePrefix="0" xfId="0"/>
    <xf numFmtId="0" fontId="17" fillId="0" borderId="14" pivotButton="0" quotePrefix="0" xfId="0"/>
    <xf numFmtId="164" fontId="17" fillId="0" borderId="15" pivotButton="0" quotePrefix="0" xfId="0"/>
    <xf numFmtId="166" fontId="0" fillId="0" borderId="14" pivotButton="0" quotePrefix="0" xfId="0"/>
    <xf numFmtId="0" fontId="0" fillId="0" borderId="14" pivotButton="0" quotePrefix="0" xfId="0"/>
    <xf numFmtId="1" fontId="17" fillId="0" borderId="14" pivotButton="0" quotePrefix="0" xfId="0"/>
    <xf numFmtId="164" fontId="10" fillId="0" borderId="14" pivotButton="0" quotePrefix="0" xfId="0"/>
    <xf numFmtId="0" fontId="10" fillId="0" borderId="14" pivotButton="0" quotePrefix="0" xfId="0"/>
    <xf numFmtId="0" fontId="30" fillId="0" borderId="14" pivotButton="0" quotePrefix="0" xfId="0"/>
    <xf numFmtId="1" fontId="10" fillId="0" borderId="14" pivotButton="0" quotePrefix="0" xfId="0"/>
    <xf numFmtId="166" fontId="0" fillId="0" borderId="2" pivotButton="0" quotePrefix="0" xfId="0"/>
    <xf numFmtId="164" fontId="0" fillId="0" borderId="15" pivotButton="0" quotePrefix="0" xfId="0"/>
    <xf numFmtId="49" fontId="0" fillId="0" borderId="2" pivotButton="0" quotePrefix="0" xfId="0"/>
    <xf numFmtId="0" fontId="0" fillId="0" borderId="10" pivotButton="0" quotePrefix="0" xfId="0"/>
    <xf numFmtId="0" fontId="3" fillId="12" borderId="4" applyAlignment="1" pivotButton="0" quotePrefix="0" xfId="0">
      <alignment horizontal="center" vertical="center"/>
    </xf>
    <xf numFmtId="0" fontId="3" fillId="12" borderId="4" applyAlignment="1" pivotButton="0" quotePrefix="0" xfId="0">
      <alignment horizontal="center" vertical="center" wrapText="1"/>
    </xf>
    <xf numFmtId="0" fontId="3" fillId="12" borderId="6" applyAlignment="1" pivotButton="0" quotePrefix="0" xfId="0">
      <alignment horizontal="center" vertical="center"/>
    </xf>
    <xf numFmtId="0" fontId="3" fillId="12" borderId="5" applyAlignment="1" pivotButton="0" quotePrefix="0" xfId="0">
      <alignment horizontal="center" vertical="center"/>
    </xf>
    <xf numFmtId="0" fontId="3" fillId="12" borderId="4" pivotButton="0" quotePrefix="0" xfId="0"/>
    <xf numFmtId="0" fontId="3" fillId="12" borderId="6" pivotButton="0" quotePrefix="0" xfId="0"/>
    <xf numFmtId="0" fontId="3" fillId="12" borderId="5" pivotButton="0" quotePrefix="0" xfId="0"/>
    <xf numFmtId="0" fontId="0" fillId="12" borderId="14" pivotButton="0" quotePrefix="0" xfId="0"/>
    <xf numFmtId="0" fontId="0" fillId="12" borderId="7" pivotButton="0" quotePrefix="0" xfId="0"/>
    <xf numFmtId="0" fontId="0" fillId="12" borderId="2" pivotButton="0" quotePrefix="0" xfId="0"/>
    <xf numFmtId="0" fontId="0" fillId="12" borderId="4" pivotButton="0" quotePrefix="0" xfId="0"/>
    <xf numFmtId="0" fontId="0" fillId="12" borderId="6" pivotButton="0" quotePrefix="0" xfId="0"/>
    <xf numFmtId="0" fontId="0" fillId="12" borderId="5" pivotButton="0" quotePrefix="0" xfId="0"/>
    <xf numFmtId="0" fontId="0" fillId="12" borderId="0" pivotButton="0" quotePrefix="0" xfId="0"/>
    <xf numFmtId="166" fontId="0" fillId="12" borderId="0" pivotButton="0" quotePrefix="0" xfId="0"/>
    <xf numFmtId="0" fontId="36" fillId="0" borderId="0" pivotButton="0" quotePrefix="0" xfId="0"/>
    <xf numFmtId="0" fontId="20" fillId="0" borderId="0" applyAlignment="1" pivotButton="0" quotePrefix="0" xfId="0">
      <alignment vertical="top"/>
    </xf>
    <xf numFmtId="0" fontId="27" fillId="0" borderId="0" applyAlignment="1" pivotButton="0" quotePrefix="0" xfId="0">
      <alignment vertical="top" wrapText="1"/>
    </xf>
    <xf numFmtId="0" fontId="20" fillId="0" borderId="0" applyAlignment="1" pivotButton="0" quotePrefix="0" xfId="0">
      <alignment horizontal="left" wrapText="1"/>
    </xf>
    <xf numFmtId="0" fontId="37" fillId="0" borderId="2" pivotButton="0" quotePrefix="0" xfId="0"/>
    <xf numFmtId="0" fontId="37" fillId="3" borderId="7" pivotButton="0" quotePrefix="0" xfId="0"/>
    <xf numFmtId="0" fontId="37" fillId="0" borderId="14" pivotButton="0" quotePrefix="0" xfId="0"/>
    <xf numFmtId="0" fontId="37" fillId="0" borderId="0" pivotButton="0" quotePrefix="0" xfId="0"/>
    <xf numFmtId="0" fontId="38" fillId="8" borderId="5" pivotButton="0" quotePrefix="0" xfId="5"/>
    <xf numFmtId="0" fontId="11" fillId="9" borderId="2" pivotButton="0" quotePrefix="0" xfId="0"/>
    <xf numFmtId="0" fontId="11" fillId="10" borderId="2" pivotButton="0" quotePrefix="0" xfId="0"/>
    <xf numFmtId="0" fontId="38" fillId="8" borderId="2" pivotButton="0" quotePrefix="0" xfId="5"/>
    <xf numFmtId="0" fontId="0" fillId="8" borderId="2" pivotButton="0" quotePrefix="0" xfId="5"/>
    <xf numFmtId="0" fontId="12" fillId="11" borderId="2" pivotButton="0" quotePrefix="0" xfId="0"/>
    <xf numFmtId="0" fontId="0" fillId="7" borderId="2" pivotButton="0" quotePrefix="0" xfId="4"/>
    <xf numFmtId="0" fontId="25" fillId="0" borderId="0" applyAlignment="1" pivotButton="0" quotePrefix="0" xfId="0">
      <alignment horizontal="left" indent="5"/>
    </xf>
    <xf numFmtId="0" fontId="17" fillId="4" borderId="2" pivotButton="0" quotePrefix="0" xfId="0"/>
    <xf numFmtId="0" fontId="0" fillId="6" borderId="2" pivotButton="0" quotePrefix="0" xfId="3"/>
    <xf numFmtId="0" fontId="10" fillId="2" borderId="2" pivotButton="0" quotePrefix="0" xfId="0"/>
    <xf numFmtId="0" fontId="31" fillId="0" borderId="2" pivotButton="0" quotePrefix="0" xfId="0"/>
    <xf numFmtId="0" fontId="39" fillId="10" borderId="5" pivotButton="0" quotePrefix="0" xfId="0"/>
    <xf numFmtId="164" fontId="1" fillId="0" borderId="0" pivotButton="0" quotePrefix="0" xfId="0"/>
    <xf numFmtId="0" fontId="40" fillId="13" borderId="2" pivotButton="0" quotePrefix="0" xfId="0"/>
    <xf numFmtId="0" fontId="41" fillId="13" borderId="2" pivotButton="0" quotePrefix="0" xfId="0"/>
    <xf numFmtId="0" fontId="12" fillId="14" borderId="10" pivotButton="0" quotePrefix="0" xfId="0"/>
    <xf numFmtId="0" fontId="12" fillId="14" borderId="2" pivotButton="0" quotePrefix="0" xfId="0"/>
    <xf numFmtId="49" fontId="20" fillId="0" borderId="0" applyAlignment="1" pivotButton="0" quotePrefix="0" xfId="0">
      <alignment horizontal="left"/>
    </xf>
    <xf numFmtId="0" fontId="13" fillId="0" borderId="0" pivotButton="0" quotePrefix="0" xfId="0"/>
    <xf numFmtId="0" fontId="12" fillId="15" borderId="5" pivotButton="0" quotePrefix="0" xfId="0"/>
    <xf numFmtId="0" fontId="12" fillId="15" borderId="13" pivotButton="0" quotePrefix="0" xfId="0"/>
    <xf numFmtId="164" fontId="0" fillId="3" borderId="17" pivotButton="0" quotePrefix="0" xfId="0"/>
    <xf numFmtId="0" fontId="17" fillId="0" borderId="0" pivotButton="0" quotePrefix="0" xfId="0"/>
    <xf numFmtId="0" fontId="17" fillId="0" borderId="7" pivotButton="0" quotePrefix="0" xfId="0"/>
    <xf numFmtId="164" fontId="17" fillId="3" borderId="2" pivotButton="0" quotePrefix="0" xfId="0"/>
    <xf numFmtId="164" fontId="0" fillId="0" borderId="1" pivotButton="0" quotePrefix="0" xfId="0"/>
    <xf numFmtId="164" fontId="0" fillId="3" borderId="16" pivotButton="0" quotePrefix="0" xfId="0"/>
    <xf numFmtId="0" fontId="0" fillId="0" borderId="7" pivotButton="0" quotePrefix="0" xfId="0"/>
    <xf numFmtId="0" fontId="0" fillId="0" borderId="9" pivotButton="0" quotePrefix="0" xfId="0"/>
    <xf numFmtId="0" fontId="42" fillId="0" borderId="0" applyAlignment="1" pivotButton="0" quotePrefix="0" xfId="0">
      <alignment vertical="top" wrapText="1"/>
    </xf>
    <xf numFmtId="0" fontId="42" fillId="0" borderId="0" applyAlignment="1" pivotButton="0" quotePrefix="0" xfId="0">
      <alignment vertical="center"/>
    </xf>
    <xf numFmtId="49" fontId="43" fillId="0" borderId="0" applyAlignment="1" pivotButton="0" quotePrefix="0" xfId="0">
      <alignment horizontal="right"/>
    </xf>
    <xf numFmtId="0" fontId="43" fillId="0" borderId="0" applyAlignment="1" pivotButton="0" quotePrefix="0" xfId="0">
      <alignment horizontal="center"/>
    </xf>
    <xf numFmtId="0" fontId="44" fillId="0" borderId="0" applyAlignment="1" pivotButton="0" quotePrefix="0" xfId="0">
      <alignment vertical="center"/>
    </xf>
    <xf numFmtId="0" fontId="45" fillId="0" borderId="0" applyAlignment="1" pivotButton="0" quotePrefix="0" xfId="0">
      <alignment horizontal="left" vertical="center" wrapText="1"/>
    </xf>
    <xf numFmtId="0" fontId="27" fillId="0" borderId="0" applyAlignment="1" pivotButton="0" quotePrefix="0" xfId="0">
      <alignment horizontal="right" vertical="top" wrapText="1"/>
    </xf>
    <xf numFmtId="168" fontId="20" fillId="0" borderId="0" applyAlignment="1" pivotButton="0" quotePrefix="0" xfId="0">
      <alignment horizontal="right"/>
    </xf>
    <xf numFmtId="0" fontId="20" fillId="0" borderId="0" applyAlignment="1" pivotButton="0" quotePrefix="0" xfId="0">
      <alignment horizontal="center"/>
    </xf>
    <xf numFmtId="0" fontId="34" fillId="0" borderId="0" applyAlignment="1" pivotButton="0" quotePrefix="0" xfId="0">
      <alignment horizontal="left"/>
    </xf>
    <xf numFmtId="167" fontId="28" fillId="0" borderId="0" applyAlignment="1" pivotButton="0" quotePrefix="0" xfId="0">
      <alignment horizontal="left"/>
    </xf>
    <xf numFmtId="1" fontId="25" fillId="0" borderId="0" applyAlignment="1" pivotButton="0" quotePrefix="0" xfId="0">
      <alignment horizontal="left"/>
    </xf>
    <xf numFmtId="169" fontId="25" fillId="0" borderId="1" applyAlignment="1" pivotButton="0" quotePrefix="0" xfId="1">
      <alignment horizontal="left"/>
    </xf>
    <xf numFmtId="165" fontId="25" fillId="0" borderId="0" applyAlignment="1" pivotButton="0" quotePrefix="0" xfId="1">
      <alignment horizontal="left"/>
    </xf>
    <xf numFmtId="168" fontId="25" fillId="0" borderId="1" applyAlignment="1" pivotButton="0" quotePrefix="0" xfId="1">
      <alignment horizontal="left"/>
    </xf>
    <xf numFmtId="0" fontId="25" fillId="0" borderId="0" applyAlignment="1" pivotButton="0" quotePrefix="0" xfId="0">
      <alignment wrapText="1"/>
    </xf>
    <xf numFmtId="0" fontId="25" fillId="0" borderId="11" pivotButton="0" quotePrefix="0" xfId="0"/>
    <xf numFmtId="1" fontId="25" fillId="0" borderId="11" pivotButton="0" quotePrefix="0" xfId="0"/>
    <xf numFmtId="1" fontId="25" fillId="0" borderId="11" applyAlignment="1" pivotButton="0" quotePrefix="0" xfId="0">
      <alignment horizontal="left"/>
    </xf>
    <xf numFmtId="0" fontId="7" fillId="0" borderId="0" pivotButton="0" quotePrefix="0" xfId="0"/>
    <xf numFmtId="167" fontId="24" fillId="0" borderId="0" applyAlignment="1" pivotButton="0" quotePrefix="0" xfId="0">
      <alignment horizontal="left"/>
    </xf>
    <xf numFmtId="0" fontId="46" fillId="0" borderId="1" pivotButton="0" quotePrefix="0" xfId="0"/>
    <xf numFmtId="169" fontId="46" fillId="0" borderId="1" applyAlignment="1" pivotButton="0" quotePrefix="0" xfId="0">
      <alignment horizontal="left"/>
    </xf>
    <xf numFmtId="0" fontId="7" fillId="0" borderId="0" applyAlignment="1" pivotButton="0" quotePrefix="0" xfId="0">
      <alignment horizontal="right"/>
    </xf>
    <xf numFmtId="0" fontId="25" fillId="0" borderId="0" applyAlignment="1" pivotButton="0" quotePrefix="0" xfId="0">
      <alignment vertical="top" wrapText="1"/>
    </xf>
    <xf numFmtId="0" fontId="34" fillId="0" borderId="1" applyAlignment="1" pivotButton="0" quotePrefix="0" xfId="0">
      <alignment horizontal="center"/>
    </xf>
    <xf numFmtId="0" fontId="34" fillId="0" borderId="0" applyAlignment="1" pivotButton="0" quotePrefix="0" xfId="0">
      <alignment horizontal="center"/>
    </xf>
    <xf numFmtId="167" fontId="28" fillId="0" borderId="0" applyAlignment="1" pivotButton="0" quotePrefix="0" xfId="0">
      <alignment horizontal="center"/>
    </xf>
    <xf numFmtId="1" fontId="25" fillId="0" borderId="0" applyAlignment="1" pivotButton="0" quotePrefix="0" xfId="0">
      <alignment horizontal="center"/>
    </xf>
    <xf numFmtId="165" fontId="25" fillId="0" borderId="1" applyAlignment="1" pivotButton="0" quotePrefix="0" xfId="1">
      <alignment horizontal="center"/>
    </xf>
    <xf numFmtId="169" fontId="25" fillId="0" borderId="1" applyAlignment="1" pivotButton="0" quotePrefix="0" xfId="1">
      <alignment horizontal="center"/>
    </xf>
    <xf numFmtId="165" fontId="25" fillId="0" borderId="0" applyAlignment="1" pivotButton="0" quotePrefix="0" xfId="1">
      <alignment horizontal="center"/>
    </xf>
    <xf numFmtId="168" fontId="25" fillId="0" borderId="1" applyAlignment="1" pivotButton="0" quotePrefix="0" xfId="1">
      <alignment horizontal="center"/>
    </xf>
    <xf numFmtId="0" fontId="25" fillId="0" borderId="0" applyAlignment="1" pivotButton="0" quotePrefix="0" xfId="0">
      <alignment horizontal="center" wrapText="1"/>
    </xf>
    <xf numFmtId="1" fontId="25" fillId="0" borderId="11" applyAlignment="1" pivotButton="0" quotePrefix="0" xfId="0">
      <alignment horizontal="center"/>
    </xf>
    <xf numFmtId="0" fontId="7" fillId="0" borderId="0" applyAlignment="1" pivotButton="0" quotePrefix="0" xfId="0">
      <alignment horizontal="center"/>
    </xf>
    <xf numFmtId="0" fontId="25" fillId="0" borderId="0" applyAlignment="1" pivotButton="0" quotePrefix="0" xfId="0">
      <alignment horizontal="center"/>
    </xf>
    <xf numFmtId="167" fontId="24" fillId="0" borderId="0" applyAlignment="1" pivotButton="0" quotePrefix="0" xfId="0">
      <alignment horizontal="center"/>
    </xf>
    <xf numFmtId="169" fontId="46" fillId="0" borderId="1" applyAlignment="1" pivotButton="0" quotePrefix="0" xfId="0">
      <alignment horizontal="center"/>
    </xf>
    <xf numFmtId="0" fontId="37" fillId="12" borderId="4" pivotButton="0" quotePrefix="0" xfId="0"/>
    <xf numFmtId="0" fontId="37" fillId="12" borderId="6" pivotButton="0" quotePrefix="0" xfId="0"/>
    <xf numFmtId="0" fontId="37" fillId="12" borderId="5" pivotButton="0" quotePrefix="0" xfId="0"/>
    <xf numFmtId="49" fontId="20" fillId="0" borderId="0" applyAlignment="1" pivotButton="0" quotePrefix="0" xfId="0">
      <alignment horizontal="right"/>
    </xf>
    <xf numFmtId="0" fontId="25" fillId="0" borderId="1" applyAlignment="1" pivotButton="0" quotePrefix="0" xfId="1">
      <alignment horizontal="left"/>
    </xf>
    <xf numFmtId="0" fontId="25" fillId="0" borderId="0" applyAlignment="1" pivotButton="0" quotePrefix="0" xfId="0">
      <alignment horizontal="left" indent="3"/>
    </xf>
    <xf numFmtId="165" fontId="25" fillId="0" borderId="1" applyAlignment="1" pivotButton="0" quotePrefix="0" xfId="1">
      <alignment horizontal="left"/>
    </xf>
    <xf numFmtId="0" fontId="25" fillId="0" borderId="0" applyAlignment="1" pivotButton="0" quotePrefix="0" xfId="0">
      <alignment horizontal="left" vertical="top"/>
    </xf>
    <xf numFmtId="0" fontId="35" fillId="0" borderId="0" applyAlignment="1" pivotButton="0" quotePrefix="0" xfId="0">
      <alignment horizontal="left" vertical="center"/>
    </xf>
    <xf numFmtId="0" fontId="1" fillId="0" borderId="0" pivotButton="0" quotePrefix="0" xfId="0"/>
    <xf numFmtId="9" fontId="0" fillId="0" borderId="0" pivotButton="0" quotePrefix="0" xfId="6"/>
    <xf numFmtId="0" fontId="0" fillId="0" borderId="11" pivotButton="0" quotePrefix="0" xfId="0"/>
    <xf numFmtId="166" fontId="0" fillId="0" borderId="11" pivotButton="0" quotePrefix="0" xfId="0"/>
    <xf numFmtId="0" fontId="47" fillId="0" borderId="0" pivotButton="0" quotePrefix="0" xfId="0"/>
    <xf numFmtId="9" fontId="47" fillId="0" borderId="0" pivotButton="0" quotePrefix="0" xfId="6"/>
    <xf numFmtId="0" fontId="48" fillId="0" borderId="0" applyAlignment="1" pivotButton="0" quotePrefix="0" xfId="0">
      <alignment horizontal="right"/>
    </xf>
    <xf numFmtId="9" fontId="31" fillId="0" borderId="0" pivotButton="0" quotePrefix="0" xfId="0"/>
    <xf numFmtId="0" fontId="49" fillId="0" borderId="0" pivotButton="0" quotePrefix="0" xfId="0"/>
    <xf numFmtId="9" fontId="13" fillId="0" borderId="0" pivotButton="0" quotePrefix="0" xfId="6"/>
    <xf numFmtId="166" fontId="13" fillId="0" borderId="0" pivotButton="0" quotePrefix="0" xfId="0"/>
    <xf numFmtId="0" fontId="50" fillId="0" borderId="0" pivotButton="0" quotePrefix="0" xfId="0"/>
    <xf numFmtId="9" fontId="50" fillId="0" borderId="0" pivotButton="0" quotePrefix="0" xfId="6"/>
    <xf numFmtId="166" fontId="50" fillId="0" borderId="0" pivotButton="0" quotePrefix="0" xfId="0"/>
    <xf numFmtId="9" fontId="51" fillId="0" borderId="0" pivotButton="0" quotePrefix="0" xfId="0"/>
    <xf numFmtId="0" fontId="13" fillId="0" borderId="1" pivotButton="0" quotePrefix="0" xfId="0"/>
    <xf numFmtId="0" fontId="55" fillId="0" borderId="0" pivotButton="0" quotePrefix="0" xfId="0"/>
    <xf numFmtId="0" fontId="56" fillId="17" borderId="18" pivotButton="0" quotePrefix="0" xfId="0"/>
    <xf numFmtId="170" fontId="56" fillId="17" borderId="18" pivotButton="0" quotePrefix="0" xfId="0"/>
    <xf numFmtId="171" fontId="57" fillId="0" borderId="18" pivotButton="0" quotePrefix="0" xfId="0"/>
    <xf numFmtId="170" fontId="57" fillId="0" borderId="18" pivotButton="0" quotePrefix="0" xfId="0"/>
    <xf numFmtId="0" fontId="58" fillId="19" borderId="18" applyAlignment="1" pivotButton="0" quotePrefix="0" xfId="0">
      <alignment horizontal="center" vertical="center" wrapText="1"/>
    </xf>
    <xf numFmtId="0" fontId="55" fillId="0" borderId="18" pivotButton="0" quotePrefix="0" xfId="0"/>
    <xf numFmtId="171" fontId="59" fillId="0" borderId="18" pivotButton="0" quotePrefix="0" xfId="0"/>
    <xf numFmtId="170" fontId="59" fillId="0" borderId="18" pivotButton="0" quotePrefix="0" xfId="0"/>
    <xf numFmtId="0" fontId="57" fillId="18" borderId="18" pivotButton="0" quotePrefix="0" xfId="0"/>
    <xf numFmtId="0" fontId="0" fillId="18" borderId="0" pivotButton="0" quotePrefix="0" xfId="0"/>
    <xf numFmtId="171" fontId="57" fillId="18" borderId="18" pivotButton="0" quotePrefix="0" xfId="0"/>
    <xf numFmtId="170" fontId="57" fillId="18" borderId="18" pivotButton="0" quotePrefix="0" xfId="0"/>
    <xf numFmtId="0" fontId="57" fillId="0" borderId="0" pivotButton="0" quotePrefix="0" xfId="0"/>
    <xf numFmtId="171" fontId="56" fillId="17" borderId="18" pivotButton="0" quotePrefix="0" xfId="0"/>
    <xf numFmtId="0" fontId="60" fillId="0" borderId="0" pivotButton="0" quotePrefix="0" xfId="0"/>
    <xf numFmtId="0" fontId="58" fillId="19" borderId="19" applyAlignment="1" pivotButton="0" quotePrefix="0" xfId="0">
      <alignment horizontal="center" vertical="center" wrapText="1"/>
    </xf>
    <xf numFmtId="49" fontId="5" fillId="0" borderId="0" pivotButton="0" quotePrefix="0" xfId="0"/>
    <xf numFmtId="164" fontId="17" fillId="0" borderId="0" pivotButton="0" quotePrefix="0" xfId="0"/>
    <xf numFmtId="0" fontId="25" fillId="0" borderId="0" applyAlignment="1" pivotButton="0" quotePrefix="0" xfId="0">
      <alignment horizontal="left" vertical="center"/>
    </xf>
    <xf numFmtId="0" fontId="20" fillId="0" borderId="0" applyAlignment="1" pivotButton="0" quotePrefix="0" xfId="0">
      <alignment horizontal="left" vertical="center" wrapText="1"/>
    </xf>
    <xf numFmtId="0" fontId="25" fillId="0" borderId="0" applyAlignment="1" pivotButton="0" quotePrefix="0" xfId="0">
      <alignment horizontal="left" vertical="top" wrapText="1"/>
    </xf>
    <xf numFmtId="0" fontId="20" fillId="0" borderId="0" applyAlignment="1" pivotButton="0" quotePrefix="0" xfId="0">
      <alignment wrapText="1"/>
    </xf>
    <xf numFmtId="0" fontId="20" fillId="0" borderId="0" applyAlignment="1" pivotButton="0" quotePrefix="0" xfId="0">
      <alignment horizontal="left" vertical="top" wrapText="1"/>
    </xf>
    <xf numFmtId="0" fontId="26" fillId="0" borderId="0" applyAlignment="1" pivotButton="0" quotePrefix="0" xfId="0">
      <alignment horizontal="center"/>
    </xf>
    <xf numFmtId="0" fontId="20" fillId="0" borderId="0" applyAlignment="1" pivotButton="0" quotePrefix="0" xfId="0">
      <alignment horizontal="left" vertical="top" wrapText="1" indent="2"/>
    </xf>
    <xf numFmtId="0" fontId="20" fillId="0" borderId="0" applyAlignment="1" pivotButton="0" quotePrefix="0" xfId="0">
      <alignment vertical="top"/>
    </xf>
    <xf numFmtId="0" fontId="27" fillId="0" borderId="0" applyAlignment="1" pivotButton="0" quotePrefix="0" xfId="0">
      <alignment vertical="top" wrapText="1"/>
    </xf>
    <xf numFmtId="0" fontId="20" fillId="0" borderId="0" applyAlignment="1" pivotButton="0" quotePrefix="0" xfId="0">
      <alignment horizontal="left" wrapText="1"/>
    </xf>
    <xf numFmtId="0" fontId="54" fillId="16" borderId="0" applyAlignment="1" pivotButton="0" quotePrefix="0" xfId="0">
      <alignment vertical="center"/>
    </xf>
    <xf numFmtId="0" fontId="52" fillId="0" borderId="0" pivotButton="0" quotePrefix="0" xfId="0"/>
    <xf numFmtId="0" fontId="53" fillId="0" borderId="0" pivotButton="0" quotePrefix="0" xfId="0"/>
    <xf numFmtId="0" fontId="56" fillId="17" borderId="18" pivotButton="0" quotePrefix="0" xfId="0"/>
    <xf numFmtId="172" fontId="56" fillId="17" borderId="18" pivotButton="0" quotePrefix="0" xfId="0"/>
    <xf numFmtId="0" fontId="53" fillId="0" borderId="0" applyAlignment="1" pivotButton="0" quotePrefix="0" xfId="0">
      <alignment vertical="top" wrapText="1"/>
    </xf>
    <xf numFmtId="0" fontId="54" fillId="20" borderId="0" applyAlignment="1" pivotButton="0" quotePrefix="0" xfId="0">
      <alignment vertical="center"/>
    </xf>
    <xf numFmtId="0" fontId="20" fillId="0" borderId="0" applyAlignment="1" pivotButton="0" quotePrefix="0" xfId="0">
      <alignment horizontal="left" vertical="top" indent="2"/>
    </xf>
    <xf numFmtId="0" fontId="25" fillId="0" borderId="0" applyAlignment="1" pivotButton="0" quotePrefix="0" xfId="0">
      <alignment vertical="top" wrapText="1"/>
    </xf>
    <xf numFmtId="1" fontId="20" fillId="0" borderId="0" applyAlignment="1" pivotButton="0" quotePrefix="0" xfId="0">
      <alignment horizontal="left"/>
    </xf>
    <xf numFmtId="167" fontId="28" fillId="0" borderId="0" applyAlignment="1" pivotButton="0" quotePrefix="0" xfId="0">
      <alignment horizontal="right"/>
    </xf>
    <xf numFmtId="167" fontId="28" fillId="0" borderId="0" pivotButton="0" quotePrefix="0" xfId="0"/>
    <xf numFmtId="0" fontId="21" fillId="0" borderId="0" pivotButton="0" quotePrefix="0" xfId="1"/>
    <xf numFmtId="165" fontId="25" fillId="0" borderId="1" pivotButton="0" quotePrefix="0" xfId="0"/>
    <xf numFmtId="167" fontId="24" fillId="0" borderId="0" pivotButton="0" quotePrefix="0" xfId="1"/>
  </cellXfs>
  <cellStyles count="7">
    <cellStyle name="Normal" xfId="0" builtinId="0"/>
    <cellStyle name="Valuta" xfId="1" builtinId="4"/>
    <cellStyle name="Farve5" xfId="2" builtinId="45"/>
    <cellStyle name="20 % - Farve5" xfId="3" builtinId="46"/>
    <cellStyle name="40 % - Farve5" xfId="4" builtinId="47"/>
    <cellStyle name="60 % - Farve5" xfId="5" builtinId="48"/>
    <cellStyle name="Procent" xfId="6" builtin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E147"/>
  <sheetViews>
    <sheetView view="pageLayout" topLeftCell="A32" zoomScaleNormal="100" workbookViewId="0">
      <selection activeCell="A29" sqref="A29"/>
    </sheetView>
  </sheetViews>
  <sheetFormatPr baseColWidth="8" defaultRowHeight="14.4"/>
  <cols>
    <col width="80.33203125" customWidth="1" min="1" max="1"/>
    <col width="22.44140625" customWidth="1" min="2" max="2"/>
    <col width="23.6640625" customWidth="1" min="3" max="3"/>
  </cols>
  <sheetData>
    <row r="1" ht="46.2" customHeight="1">
      <c r="A1" s="260" t="inlineStr">
        <is>
          <t>Hjerlesvej 17</t>
        </is>
      </c>
    </row>
    <row r="2" ht="46.2" customHeight="1">
      <c r="A2" s="260" t="inlineStr">
        <is>
          <t>Honoraroverslag</t>
        </is>
      </c>
    </row>
    <row r="4" ht="15.6" customHeight="1">
      <c r="A4" s="42" t="inlineStr">
        <is>
          <t xml:space="preserve">Sag:           </t>
        </is>
      </c>
      <c r="B4" s="42">
        <f>A1</f>
        <v/>
      </c>
      <c r="C4" s="32" t="n"/>
    </row>
    <row r="5" ht="15.6" customHeight="1">
      <c r="A5" s="40" t="inlineStr">
        <is>
          <t xml:space="preserve">Emne:       </t>
        </is>
      </c>
      <c r="B5" s="255" t="inlineStr">
        <is>
          <t>Ombygning og tilbygning af sommerhus</t>
        </is>
      </c>
      <c r="C5" s="32" t="n"/>
    </row>
    <row r="6" ht="15.6" customHeight="1">
      <c r="A6" s="40" t="inlineStr">
        <is>
          <t>Revision:</t>
        </is>
      </c>
      <c r="B6" s="219" t="n"/>
      <c r="C6" s="32" t="n"/>
    </row>
    <row r="7" ht="14.25" customHeight="1">
      <c r="A7" s="36" t="n"/>
      <c r="B7" s="32" t="n"/>
      <c r="C7" s="32" t="n"/>
    </row>
    <row r="8" ht="15.6" customHeight="1">
      <c r="A8" s="43" t="inlineStr">
        <is>
          <t>Tidligt honoraroverslag – konstruktioner og indeklima iht. BR18 samt SBi 271</t>
        </is>
      </c>
      <c r="B8" s="32" t="n"/>
      <c r="C8" s="32" t="n"/>
    </row>
    <row r="9" ht="15.6" customHeight="1">
      <c r="A9" s="43" t="inlineStr">
        <is>
          <t>København:</t>
        </is>
      </c>
      <c r="B9" s="99" t="n">
        <v>46296</v>
      </c>
      <c r="C9" s="32" t="n"/>
    </row>
    <row r="10" ht="15.6" customHeight="1">
      <c r="A10" s="43" t="n"/>
      <c r="B10" s="87" t="n"/>
      <c r="C10" s="32" t="n"/>
    </row>
    <row r="11" ht="15.6" customHeight="1">
      <c r="A11" s="43" t="inlineStr">
        <is>
          <t>Timepris:</t>
        </is>
      </c>
      <c r="B11" s="274" t="n">
        <v>1000</v>
      </c>
      <c r="C11" s="32" t="inlineStr">
        <is>
          <t>DKK/t eksl. moms</t>
        </is>
      </c>
    </row>
    <row r="12" ht="15.6" customHeight="1">
      <c r="A12" s="43" t="n"/>
      <c r="B12" s="87" t="n"/>
      <c r="C12" s="32" t="n"/>
    </row>
    <row r="13" ht="15.6" customHeight="1">
      <c r="A13" s="90" t="inlineStr">
        <is>
          <t>Grundlag:</t>
        </is>
      </c>
      <c r="B13" s="32" t="n"/>
      <c r="C13" s="32" t="n"/>
    </row>
    <row r="14" ht="64.05" customHeight="1">
      <c r="A14" s="263" t="inlineStr">
        <is>
          <t>Honoraroverslaget er et tidligt overslag baseret på arkitektens tegninger (WE Architecture, 28.09.26) samt byggesagsarkivet for A-huset (1973) og annekset (2001). Der er endnu ikke foretaget besigtigelse. Overslaget oplister de ydelser, vi forventer at udføre, og er åbent for dialog. Timeestimatet håndteres i medgået tid inden for den angivne ramme, medmindre andet aftales.</t>
        </is>
      </c>
    </row>
    <row r="15" ht="15" customHeight="1">
      <c r="A15" s="264" t="n"/>
    </row>
    <row r="16" ht="21" customHeight="1">
      <c r="A16" s="177" t="inlineStr">
        <is>
          <t>Konstruktioner</t>
        </is>
      </c>
      <c r="B16" s="264" t="n"/>
      <c r="C16" s="264" t="n"/>
    </row>
    <row r="17">
      <c r="A17" s="32" t="n"/>
      <c r="B17" s="32" t="n"/>
      <c r="C17" s="32" t="n"/>
    </row>
    <row r="18" ht="15.6" customHeight="1">
      <c r="A18" s="91" t="inlineStr">
        <is>
          <t>Indhold i prisoverslag:</t>
        </is>
      </c>
      <c r="B18" s="97" t="inlineStr">
        <is>
          <t>min. timer/beløb</t>
        </is>
      </c>
      <c r="C18" s="97" t="inlineStr">
        <is>
          <t>max. timer/beløb</t>
        </is>
      </c>
    </row>
    <row r="19" ht="15.6" customHeight="1">
      <c r="A19" s="32" t="n"/>
      <c r="B19" s="32" t="n"/>
      <c r="C19" s="32" t="n"/>
    </row>
    <row r="20" ht="15.6" customHeight="1">
      <c r="A20" s="44" t="inlineStr">
        <is>
          <t>1. Geoteknik og funderingsløsninger</t>
        </is>
      </c>
      <c r="B20" s="275" t="n">
        <v>35</v>
      </c>
      <c r="C20" s="276" t="n">
        <v>50</v>
      </c>
    </row>
    <row r="21" ht="15.6" customHeight="1">
      <c r="A21" s="73" t="inlineStr">
        <is>
          <t>Besigtigelse og registrering af sætningsskader</t>
        </is>
      </c>
      <c r="B21" s="32" t="n"/>
      <c r="C21" s="32" t="n"/>
    </row>
    <row r="22" ht="15.6" customHeight="1">
      <c r="A22" s="73" t="inlineStr">
        <is>
          <t>Koordinering af geoteknisk undersøgelse (boreplan, gennemgang af rapport)</t>
        </is>
      </c>
      <c r="B22" s="32" t="n"/>
      <c r="C22" s="32" t="n"/>
    </row>
    <row r="23" ht="15.6" customHeight="1">
      <c r="A23" s="73" t="inlineStr">
        <is>
          <t>Vurdering af sætningsskadernes årsag og omfang</t>
        </is>
      </c>
      <c r="B23" s="32" t="n"/>
      <c r="C23" s="32" t="n"/>
    </row>
    <row r="24" ht="15.6" customHeight="1">
      <c r="A24" s="73" t="inlineStr">
        <is>
          <t>Funderingsløsninger for udbedring af sætninger</t>
        </is>
      </c>
      <c r="B24" s="32" t="n"/>
      <c r="C24" s="32" t="n"/>
    </row>
    <row r="25" ht="15.6" customHeight="1">
      <c r="A25" s="73" t="inlineStr">
        <is>
          <t>Funderingsløsning for ny bygning og tilslutning til eksisterende fundamenter</t>
        </is>
      </c>
      <c r="B25" s="32" t="n"/>
      <c r="C25" s="32" t="n"/>
    </row>
    <row r="26" ht="15.6" customHeight="1">
      <c r="A26" s="73" t="inlineStr">
        <is>
          <t>Fundamentsplan og principdetaljer</t>
        </is>
      </c>
      <c r="B26" s="277" t="n"/>
      <c r="C26" s="277" t="n"/>
    </row>
    <row r="27" ht="15.6" customHeight="1">
      <c r="A27" s="79" t="inlineStr">
        <is>
          <t>Honorar:</t>
        </is>
      </c>
      <c r="B27" s="80">
        <f>$B$11*B20</f>
        <v/>
      </c>
      <c r="C27" s="80">
        <f>$B$11*C20</f>
        <v/>
      </c>
    </row>
    <row r="28" ht="15.6" customHeight="1">
      <c r="A28" s="32" t="n"/>
      <c r="B28" s="32" t="n"/>
      <c r="C28" s="32" t="n"/>
    </row>
    <row r="29" ht="15.6" customHeight="1">
      <c r="A29" s="44" t="inlineStr">
        <is>
          <t>2. Anneks</t>
        </is>
      </c>
      <c r="B29" s="275" t="n">
        <v>30</v>
      </c>
      <c r="C29" s="276" t="n">
        <v>45</v>
      </c>
    </row>
    <row r="30" ht="15.6" customHeight="1">
      <c r="A30" s="73" t="inlineStr">
        <is>
          <t>Registrering af eksisterende konstruktion (tegninger fra 2001) og besigtigelse</t>
        </is>
      </c>
      <c r="B30" s="32" t="n"/>
      <c r="C30" s="32" t="n"/>
      <c r="D30" s="31" t="n"/>
      <c r="E30" s="31" t="n"/>
    </row>
    <row r="31" ht="15.6" customHeight="1">
      <c r="A31" s="73" t="inlineStr">
        <is>
          <t>Stabilitet</t>
        </is>
      </c>
      <c r="B31" s="32" t="n"/>
      <c r="C31" s="32" t="n"/>
      <c r="D31" s="31" t="n"/>
      <c r="E31" s="31" t="n"/>
    </row>
    <row r="32" ht="15.6" customHeight="1">
      <c r="A32" s="73" t="inlineStr">
        <is>
          <t>Bjælker og søjler</t>
        </is>
      </c>
      <c r="B32" s="32" t="n"/>
      <c r="C32" s="32" t="n"/>
      <c r="D32" s="31" t="n"/>
      <c r="E32" s="31" t="n"/>
    </row>
    <row r="33" ht="15.6" customHeight="1">
      <c r="A33" s="73" t="inlineStr">
        <is>
          <t>Deformationer</t>
        </is>
      </c>
      <c r="B33" s="32" t="n"/>
      <c r="C33" s="32" t="n"/>
    </row>
    <row r="34" ht="15.6" customHeight="1">
      <c r="A34" s="73" t="inlineStr">
        <is>
          <t>Nye åbninger og tilslutning til ny bygning</t>
        </is>
      </c>
      <c r="B34" s="277" t="n"/>
      <c r="C34" s="277" t="n"/>
    </row>
    <row r="35" ht="15.6" customHeight="1">
      <c r="A35" s="79" t="inlineStr">
        <is>
          <t>Honorar:</t>
        </is>
      </c>
      <c r="B35" s="80">
        <f>$B$11*B29</f>
        <v/>
      </c>
      <c r="C35" s="80">
        <f>$B$11*C29</f>
        <v/>
      </c>
    </row>
    <row r="36">
      <c r="A36" s="32" t="n"/>
      <c r="B36" s="32" t="n"/>
      <c r="C36" s="32" t="n"/>
    </row>
    <row r="37" ht="15.6" customHeight="1">
      <c r="A37" s="44" t="inlineStr">
        <is>
          <t>3. Ny bygning og A-frame</t>
        </is>
      </c>
      <c r="B37" s="275" t="n">
        <v>190</v>
      </c>
      <c r="C37" s="276" t="n">
        <v>240</v>
      </c>
    </row>
    <row r="38" ht="15.6" customHeight="1">
      <c r="A38" s="73" t="inlineStr">
        <is>
          <t>Lastopgørelse: vind (kystnært) og sne inkl. snesæk ved A-frame og lanterner</t>
        </is>
      </c>
      <c r="B38" s="32" t="n"/>
      <c r="C38" s="32" t="n"/>
    </row>
    <row r="39" ht="15.6" customHeight="1">
      <c r="A39" s="73" t="inlineStr">
        <is>
          <t>Ny konstruktion: fundering</t>
        </is>
      </c>
      <c r="B39" s="32" t="n"/>
      <c r="C39" s="32" t="n"/>
    </row>
    <row r="40" ht="15.6" customHeight="1">
      <c r="A40" s="73" t="inlineStr">
        <is>
          <t>Ny konstruktion: bjælker og søjler</t>
        </is>
      </c>
      <c r="B40" s="32" t="n"/>
      <c r="C40" s="32" t="n"/>
    </row>
    <row r="41" ht="15.6" customHeight="1">
      <c r="A41" s="73" t="inlineStr">
        <is>
          <t>Ny konstruktion: vægge og stabilitet</t>
        </is>
      </c>
      <c r="B41" s="32" t="n"/>
      <c r="C41" s="32" t="n"/>
    </row>
    <row r="42" ht="15.6" customHeight="1">
      <c r="A42" s="73" t="inlineStr">
        <is>
          <t>A-frame: vurdering af deformationer ved nye glaspartier</t>
        </is>
      </c>
      <c r="B42" s="32" t="n"/>
      <c r="C42" s="32" t="n"/>
    </row>
    <row r="43" ht="15.6" customHeight="1">
      <c r="A43" s="73" t="inlineStr">
        <is>
          <t>A-frame: vurdering ved nye laster og dobbelthøjt rum</t>
        </is>
      </c>
      <c r="B43" s="32" t="n"/>
      <c r="C43" s="32" t="n"/>
    </row>
    <row r="44" ht="15.6" customHeight="1">
      <c r="A44" s="73" t="inlineStr">
        <is>
          <t>Åbning ved køkken og buede bjælker</t>
        </is>
      </c>
      <c r="B44" s="32" t="n"/>
      <c r="C44" s="32" t="n"/>
    </row>
    <row r="45" ht="15.6" customHeight="1">
      <c r="A45" s="73" t="inlineStr">
        <is>
          <t>Flytning af glasfacader</t>
        </is>
      </c>
      <c r="B45" s="32" t="n"/>
      <c r="C45" s="32" t="n"/>
    </row>
    <row r="46" ht="14.25" customHeight="1">
      <c r="A46" s="73" t="inlineStr">
        <is>
          <t>Samling mellem anneks, ny bygning og A-frame</t>
        </is>
      </c>
      <c r="B46" s="32" t="n"/>
      <c r="C46" s="32" t="n"/>
    </row>
    <row r="47" ht="15.6" customHeight="1">
      <c r="A47" s="73" t="inlineStr">
        <is>
          <t>Beregning af trappe og repos</t>
        </is>
      </c>
      <c r="B47" s="277" t="n"/>
      <c r="C47" s="277" t="n"/>
    </row>
    <row r="48" ht="15.6" customHeight="1">
      <c r="A48" s="73" t="inlineStr">
        <is>
          <t>Konstruktionstegninger og statisk dokumentation (A1, A2, B1)</t>
        </is>
      </c>
      <c r="B48" s="277" t="n"/>
      <c r="C48" s="277" t="n"/>
    </row>
    <row r="49" ht="14.25" customHeight="1">
      <c r="A49" s="73" t="inlineStr">
        <is>
          <t>Indeklima samt møder og koordinering med arkitekt og entreprenør</t>
        </is>
      </c>
      <c r="B49" s="32" t="n"/>
      <c r="C49" s="32" t="n"/>
    </row>
    <row r="50" ht="14.25" customHeight="1">
      <c r="A50" s="79" t="inlineStr">
        <is>
          <t>Honorar:</t>
        </is>
      </c>
      <c r="B50" s="278">
        <f>$B$11*B37</f>
        <v/>
      </c>
      <c r="C50" s="278">
        <f>$B$11*C37</f>
        <v/>
      </c>
    </row>
    <row r="51" ht="15.6" customHeight="1">
      <c r="A51" s="32" t="n"/>
      <c r="B51" s="32" t="n"/>
      <c r="C51" s="32" t="n"/>
    </row>
    <row r="52" ht="15.75" customHeight="1">
      <c r="A52" s="32" t="n"/>
      <c r="B52" s="277" t="n"/>
      <c r="C52" s="277" t="n"/>
    </row>
    <row r="53" ht="15.6" customHeight="1">
      <c r="A53" s="32" t="n"/>
      <c r="B53" s="279">
        <f>B20+B29+B37</f>
        <v/>
      </c>
      <c r="C53" s="279">
        <f>C20+C29+C37</f>
        <v/>
      </c>
    </row>
    <row r="54" ht="14.25" customHeight="1">
      <c r="A54" s="92" t="inlineStr">
        <is>
          <t>Samlet honoraroverslag:</t>
        </is>
      </c>
      <c r="B54" s="96">
        <f>B53*$B$11</f>
        <v/>
      </c>
      <c r="C54" s="96">
        <f>C53*$B$11</f>
        <v/>
      </c>
    </row>
    <row r="55" ht="14.25" customHeight="1">
      <c r="A55" s="32" t="n"/>
      <c r="B55" s="32" t="n"/>
      <c r="C55" s="32" t="n"/>
    </row>
    <row r="56" ht="15.75" customHeight="1">
      <c r="A56" s="32" t="n"/>
      <c r="B56" s="277" t="n"/>
      <c r="C56" s="277" t="n"/>
    </row>
    <row r="57" ht="15.6" customHeight="1">
      <c r="A57" s="32" t="n"/>
      <c r="B57" s="277" t="n"/>
      <c r="C57" s="277" t="n"/>
    </row>
    <row r="58" ht="14.25" customHeight="1">
      <c r="A58" s="32" t="n"/>
      <c r="B58" s="32" t="n"/>
      <c r="C58" s="32" t="n"/>
    </row>
    <row r="59" ht="14.25" customHeight="1">
      <c r="A59" s="32" t="n"/>
      <c r="B59" s="32" t="n"/>
      <c r="C59" s="32" t="n"/>
    </row>
    <row r="60" ht="15.6" customHeight="1">
      <c r="A60" s="32" t="n"/>
      <c r="B60" s="32" t="n"/>
      <c r="C60" s="32" t="n"/>
    </row>
    <row r="61" ht="15.75" customHeight="1">
      <c r="A61" s="32" t="n"/>
      <c r="B61" s="277" t="n"/>
      <c r="C61" s="277" t="n"/>
    </row>
    <row r="62" ht="15.6" customHeight="1">
      <c r="A62" s="32" t="n"/>
      <c r="B62" s="277" t="n"/>
      <c r="C62" s="277" t="n"/>
    </row>
    <row r="63" ht="15.6" customHeight="1">
      <c r="A63" s="32" t="n"/>
      <c r="B63" s="277" t="n"/>
      <c r="C63" s="277" t="n"/>
    </row>
    <row r="64" ht="15.6" customHeight="1">
      <c r="A64" s="32" t="n"/>
      <c r="B64" s="32" t="n"/>
      <c r="C64" s="32" t="n"/>
    </row>
    <row r="65" ht="15.6" customHeight="1">
      <c r="A65" s="32" t="n"/>
      <c r="B65" s="32" t="n"/>
      <c r="C65" s="32" t="n"/>
    </row>
    <row r="66">
      <c r="A66" s="32" t="n"/>
      <c r="B66" s="32" t="n"/>
      <c r="C66" s="32" t="n"/>
    </row>
    <row r="67" ht="15.6" customHeight="1">
      <c r="A67" s="89" t="inlineStr">
        <is>
          <t>Noter:</t>
        </is>
      </c>
      <c r="B67" s="32" t="n"/>
      <c r="C67" s="32" t="n"/>
    </row>
    <row r="68" ht="31.05" customHeight="1">
      <c r="A68" s="259" t="inlineStr">
        <is>
          <t xml:space="preserve">Det bemærkes, at evt. opdeling af den samlede (del)ramme kun er vejledende, og således kan forbrug flyttes mellem delopgaver indenfor den enkelte ramme.
</t>
        </is>
      </c>
    </row>
    <row r="69" ht="48.75" customHeight="1">
      <c r="A69" s="259" t="inlineStr">
        <is>
          <t>Der må antages, at der kan opstå uforudsete problemstillinger ifm. projektering, nedrivning, udførelse. Alle større ændringer, samt emner under udførelse er ikke inkluderet i tilbuddet, men kan udføres i medgået tid.
Såfremt det ønskes, kan aftale opdateres for ovenstående og eventuelle andre kommentarer i måtte have.</t>
        </is>
      </c>
    </row>
    <row r="70" ht="15.6" customHeight="1">
      <c r="A70" s="259" t="n"/>
      <c r="B70" s="259" t="n"/>
      <c r="C70" s="259" t="n"/>
    </row>
    <row r="71" ht="15.6" customHeight="1">
      <c r="A71" s="89" t="inlineStr">
        <is>
          <t>Betalingsbetingelser:</t>
        </is>
      </c>
      <c r="B71" s="32" t="n"/>
      <c r="C71" s="32" t="n"/>
    </row>
    <row r="72" ht="15.6" customHeight="1">
      <c r="A72" s="257" t="inlineStr">
        <is>
          <t>Udlæg afregnes iht. ABR18</t>
        </is>
      </c>
    </row>
    <row r="73" ht="15.6" customFormat="1" customHeight="1" s="165">
      <c r="A73" s="257" t="inlineStr">
        <is>
          <t>Medmindre andet er angivet, udstedes fakturaer for udført arbejde månedligt og ved afslutningen af hver arbejdsfase.</t>
        </is>
      </c>
    </row>
    <row r="74" ht="15.6" customHeight="1">
      <c r="A74" s="259" t="n"/>
      <c r="B74" s="259" t="n"/>
      <c r="C74" s="259" t="n"/>
    </row>
    <row r="75" ht="15.6" customHeight="1">
      <c r="A75" s="98" t="inlineStr">
        <is>
          <t>Ikke inkluderet i tilbuddet:</t>
        </is>
      </c>
      <c r="B75" s="259" t="n"/>
      <c r="C75" s="259" t="n"/>
    </row>
    <row r="76" ht="15.6" customHeight="1">
      <c r="A76" s="262" t="inlineStr">
        <is>
          <t>Følgende poster er ikke medtaget i ovenstående estimat. De kan om nødvendigt leveres et særskilt estimat.</t>
        </is>
      </c>
    </row>
    <row r="77" ht="15.6" customHeight="1">
      <c r="A77" s="95" t="inlineStr">
        <is>
          <t>Geoteknisk undersøgelse (boringer og rapport) – udføres af geotekniker</t>
        </is>
      </c>
      <c r="B77" s="36" t="n"/>
      <c r="C77" s="36" t="n"/>
    </row>
    <row r="78" ht="15.6" customHeight="1">
      <c r="A78" s="95" t="inlineStr">
        <is>
          <t>Tilsyn og kontrol under udførelse (B2 kontrolplan, B3 kontrolrapport)</t>
        </is>
      </c>
      <c r="B78" s="36" t="n"/>
      <c r="C78" s="36" t="n"/>
    </row>
    <row r="79" ht="14.25" customHeight="1">
      <c r="A79" s="95" t="inlineStr">
        <is>
          <t>Projektering af omfattende forstærkning eller understøbning</t>
        </is>
      </c>
      <c r="B79" s="36" t="n"/>
      <c r="C79" s="36" t="n"/>
    </row>
    <row r="80" ht="15.6" customHeight="1">
      <c r="A80" s="95" t="inlineStr">
        <is>
          <t>Myndighedskontakt, projektledelse, LCA og Be18-energiramme</t>
        </is>
      </c>
      <c r="B80" s="36" t="n"/>
      <c r="C80" s="36" t="n"/>
    </row>
    <row r="81" ht="16.5" customHeight="1">
      <c r="A81" s="39" t="inlineStr">
        <is>
          <t>Forudsætninger:</t>
        </is>
      </c>
      <c r="B81" s="36" t="n"/>
      <c r="C81" s="36" t="n"/>
    </row>
    <row r="82" ht="15.6" customHeight="1">
      <c r="A82" s="95" t="inlineStr">
        <is>
          <t>Projektet indplaceres i konstruktionsklasse KK1 og konsekvensklasse CC2 – der kræves ikke certificeret statiker</t>
        </is>
      </c>
      <c r="B82" s="36" t="n"/>
      <c r="C82" s="36" t="n"/>
    </row>
    <row r="83" ht="15.6" customHeight="1">
      <c r="A83" s="95" t="inlineStr">
        <is>
          <t>Grundlag for geometri er iht. arkitekt</t>
        </is>
      </c>
      <c r="B83" s="36" t="n"/>
      <c r="C83" s="36" t="n"/>
    </row>
    <row r="84" ht="15.6" customHeight="1">
      <c r="A84" s="95" t="inlineStr">
        <is>
          <t>Funderingsmetode fastlægges efter geoteknisk undersøgelse</t>
        </is>
      </c>
      <c r="B84" s="36" t="n"/>
      <c r="C84" s="36" t="n"/>
    </row>
    <row r="85" ht="15.6" customHeight="1">
      <c r="A85" s="95" t="inlineStr">
        <is>
          <t>Branddokumentation håndteres af brandrådgiver</t>
        </is>
      </c>
      <c r="B85" s="36" t="n"/>
      <c r="C85" s="36" t="n"/>
    </row>
    <row r="86" ht="15.6" customHeight="1">
      <c r="A86" s="95" t="inlineStr">
        <is>
          <t>Indeklima og varmetabsramme er medtaget; bygningsfysik i øvrigt håndteres af arkitekt</t>
        </is>
      </c>
      <c r="B86" s="36" t="n"/>
      <c r="C86" s="36" t="n"/>
    </row>
    <row r="87" ht="15.6" customHeight="1">
      <c r="A87" s="95" t="inlineStr">
        <is>
          <t>Byggeledelse samt tilsyn håndteres af anden</t>
        </is>
      </c>
      <c r="B87" s="36" t="n"/>
      <c r="C87" s="36" t="n"/>
    </row>
    <row r="88" ht="15.6" customHeight="1">
      <c r="A88" s="85" t="n"/>
      <c r="B88" s="36" t="n"/>
      <c r="C88" s="36" t="n"/>
    </row>
    <row r="89" ht="15.6" customHeight="1">
      <c r="A89" s="256" t="inlineStr">
        <is>
          <t xml:space="preserve">Arbejdet udføres under aftalegrundlaget for Almindelige Bestemmelser for teknisk Rådgivning og bistand, ABR18. </t>
        </is>
      </c>
    </row>
    <row r="90" ht="15.6" customHeight="1">
      <c r="A90" s="259" t="inlineStr">
        <is>
          <t xml:space="preserve">Rådgiveren er ansvarlig for fejl og mangler iht. ABR 18-Forenklet § 36, 37, 38 og 39, der siger:
</t>
        </is>
      </c>
    </row>
    <row r="91" ht="15.6" customHeight="1">
      <c r="A91" s="261" t="inlineStr">
        <is>
          <t>Ansvar er begrænset til 2 x Rådgivers honorar, men  er begrænset til maksimum kr. 2,5 mill. iht. ABR 18-F.</t>
        </is>
      </c>
    </row>
    <row r="92" ht="16.5" customHeight="1">
      <c r="A92" s="261" t="inlineStr">
        <is>
          <t>I nærværende aftale vil ansvar således være begrænset til 2 x rådgiverhonorar.</t>
        </is>
      </c>
    </row>
    <row r="93" ht="15.6" customHeight="1">
      <c r="A93" s="261" t="inlineStr">
        <is>
          <t>Tidsmæssigt ophører Rådgiverens ansvar 5 år efter afleveringen iht. ABR 18-F.</t>
        </is>
      </c>
    </row>
    <row r="94" ht="15.6" customHeight="1">
      <c r="A94" s="259" t="n"/>
      <c r="B94" s="259" t="n"/>
      <c r="C94" s="259" t="n"/>
    </row>
    <row r="95" ht="33" customHeight="1">
      <c r="A95" s="259" t="inlineStr">
        <is>
          <t>Jeg håber, at ovenstående lever op til jeres forventninger. Samtidigt takker jeg for jeres henvendelse og ser frem til et godt samarbejde omkring dette projekt.</t>
        </is>
      </c>
    </row>
    <row r="96" ht="15.6" customHeight="1">
      <c r="A96" s="36" t="n"/>
      <c r="B96" s="36" t="n"/>
      <c r="C96" s="36" t="n"/>
    </row>
    <row r="97" ht="46.8" customHeight="1">
      <c r="A97" s="258" t="inlineStr">
        <is>
          <t xml:space="preserve">Med venlig hilsen 
Rasmus Kristian Holst
Holst Engineering ApS – Rådgivende ingeniørfirma. </t>
        </is>
      </c>
      <c r="B97" s="36" t="n"/>
      <c r="C97" s="36" t="n"/>
    </row>
    <row r="98" ht="23.4" customHeight="1">
      <c r="A98" s="134" t="inlineStr">
        <is>
          <t>Oversigt</t>
        </is>
      </c>
    </row>
    <row r="99" ht="15.6" customHeight="1">
      <c r="A99" s="42" t="inlineStr">
        <is>
          <t xml:space="preserve">Sag:           </t>
        </is>
      </c>
      <c r="B99" s="40">
        <f>B4</f>
        <v/>
      </c>
    </row>
    <row r="100" ht="15.6" customHeight="1">
      <c r="A100" s="40" t="inlineStr">
        <is>
          <t xml:space="preserve">Emne:       </t>
        </is>
      </c>
      <c r="B100" s="86">
        <f>B5</f>
        <v/>
      </c>
    </row>
    <row r="101" ht="15.6" customHeight="1">
      <c r="A101" s="40" t="inlineStr">
        <is>
          <t>Revision:</t>
        </is>
      </c>
      <c r="B101" s="86" t="n"/>
    </row>
    <row r="102" ht="15.6" customHeight="1">
      <c r="A102" s="40" t="n"/>
    </row>
    <row r="103" ht="15.6" customHeight="1">
      <c r="A103" s="40" t="inlineStr">
        <is>
          <t>Arkitekt:</t>
        </is>
      </c>
      <c r="B103" s="81" t="inlineStr">
        <is>
          <t>WE Architecture</t>
        </is>
      </c>
    </row>
    <row r="104" ht="15.6" customHeight="1">
      <c r="A104" s="40" t="inlineStr">
        <is>
          <t>Ingeniør (øvrige):</t>
        </is>
      </c>
      <c r="B104" s="81" t="n"/>
    </row>
    <row r="105" ht="15.6" customHeight="1">
      <c r="A105" s="95" t="inlineStr">
        <is>
          <t>Brand</t>
        </is>
      </c>
      <c r="B105" s="81" t="inlineStr">
        <is>
          <t>XXX</t>
        </is>
      </c>
    </row>
    <row r="106" ht="15.6" customHeight="1">
      <c r="A106" s="95" t="inlineStr">
        <is>
          <t>Installations / VVS</t>
        </is>
      </c>
      <c r="B106" s="36" t="inlineStr">
        <is>
          <t>XXX</t>
        </is>
      </c>
    </row>
    <row r="107" ht="15.6" customHeight="1">
      <c r="A107" s="95" t="inlineStr">
        <is>
          <t>Energi</t>
        </is>
      </c>
      <c r="B107" s="36" t="inlineStr">
        <is>
          <t>Medtaget (indeklima og varmetabsramme)</t>
        </is>
      </c>
    </row>
    <row r="108" ht="15.6" customHeight="1">
      <c r="A108" s="95" t="inlineStr">
        <is>
          <t>Akustiks</t>
        </is>
      </c>
      <c r="B108" s="36" t="inlineStr">
        <is>
          <t>XXX</t>
        </is>
      </c>
    </row>
    <row r="109" ht="15.6" customHeight="1">
      <c r="A109" s="95" t="inlineStr">
        <is>
          <t>Miljø</t>
        </is>
      </c>
      <c r="B109" s="36" t="inlineStr">
        <is>
          <t>XXX</t>
        </is>
      </c>
    </row>
    <row r="110" ht="15.6" customHeight="1">
      <c r="A110" s="40" t="n"/>
      <c r="B110" s="36" t="n"/>
    </row>
    <row r="111" ht="15.6" customHeight="1">
      <c r="A111" s="40" t="inlineStr">
        <is>
          <t>Konstruktionsklasse:</t>
        </is>
      </c>
      <c r="B111" s="36" t="inlineStr">
        <is>
          <t>KK1</t>
        </is>
      </c>
    </row>
    <row r="112" ht="15.6" customHeight="1">
      <c r="A112" s="40" t="inlineStr">
        <is>
          <t>Certified Statiker</t>
        </is>
      </c>
      <c r="B112" s="36" t="inlineStr">
        <is>
          <t>N/A</t>
        </is>
      </c>
    </row>
    <row r="113" ht="15.6" customHeight="1">
      <c r="A113" s="40" t="inlineStr">
        <is>
          <t>Konsekvensklasse:</t>
        </is>
      </c>
      <c r="B113" s="36" t="inlineStr">
        <is>
          <t>CC2</t>
        </is>
      </c>
    </row>
    <row r="114" ht="15.6" customHeight="1">
      <c r="A114" s="40" t="inlineStr">
        <is>
          <t>Kontrakttype:</t>
        </is>
      </c>
      <c r="B114" s="36" t="inlineStr">
        <is>
          <t>Medgået tid i ramme</t>
        </is>
      </c>
    </row>
    <row r="115" ht="15.6" customHeight="1">
      <c r="A115" s="36" t="n"/>
    </row>
    <row r="116" ht="30.75" customHeight="1">
      <c r="A116" s="258" t="inlineStr">
        <is>
          <t>Hvis ovenstående projektforløb og tidsestimater accepteres, bedes kunden udfylde følgende og returnere til Holst Engineering. Returnering af denne formular udgør accept af aftalen som beskrevet, herunder de nævnte begrænsninger og undtagelser.</t>
        </is>
      </c>
    </row>
    <row r="119" ht="15.6" customHeight="1">
      <c r="A119" s="88" t="inlineStr">
        <is>
          <t>Holst Engineerings Kunde</t>
        </is>
      </c>
    </row>
    <row r="120" ht="15.6" customHeight="1">
      <c r="A120" s="88" t="n"/>
    </row>
    <row r="121" ht="15.6" customHeight="1">
      <c r="A121" s="37" t="inlineStr">
        <is>
          <t>Navn:</t>
        </is>
      </c>
      <c r="B121" s="84" t="n"/>
      <c r="C121" s="84" t="n"/>
    </row>
    <row r="122" ht="15.6" customHeight="1">
      <c r="A122" s="36" t="n"/>
    </row>
    <row r="123" ht="15.6" customHeight="1">
      <c r="A123" s="37" t="inlineStr">
        <is>
          <t>CVR:</t>
        </is>
      </c>
      <c r="B123" s="84" t="n"/>
      <c r="C123" s="84" t="n"/>
    </row>
    <row r="124" ht="15.6" customHeight="1">
      <c r="A124" s="36" t="n"/>
    </row>
    <row r="125" ht="15.6" customHeight="1">
      <c r="A125" s="37" t="inlineStr">
        <is>
          <t>EAN nr. / e-faktureringsnummer:</t>
        </is>
      </c>
      <c r="B125" s="84" t="n"/>
      <c r="C125" s="84" t="n"/>
    </row>
    <row r="126" ht="15.6" customHeight="1">
      <c r="A126" s="36" t="n"/>
    </row>
    <row r="127" ht="15.6" customHeight="1">
      <c r="A127" s="37" t="inlineStr">
        <is>
          <t>Telefon:</t>
        </is>
      </c>
      <c r="B127" s="84" t="n"/>
      <c r="C127" s="84" t="n"/>
    </row>
    <row r="128" ht="15.6" customHeight="1">
      <c r="A128" s="36" t="n"/>
    </row>
    <row r="129" ht="15.6" customHeight="1">
      <c r="A129" s="37" t="inlineStr">
        <is>
          <t>Email:</t>
        </is>
      </c>
      <c r="B129" s="84" t="n"/>
      <c r="C129" s="84" t="n"/>
    </row>
    <row r="130" ht="15.6" customHeight="1">
      <c r="A130" s="36" t="n"/>
    </row>
    <row r="131" ht="15.6" customHeight="1">
      <c r="A131" s="36" t="n"/>
    </row>
    <row r="132" ht="15.6" customHeight="1">
      <c r="A132" s="83" t="inlineStr">
        <is>
          <t>Bygherre</t>
        </is>
      </c>
    </row>
    <row r="133" ht="15.6" customHeight="1">
      <c r="A133" s="83" t="n"/>
    </row>
    <row r="134" ht="15.6" customHeight="1">
      <c r="A134" s="37" t="inlineStr">
        <is>
          <t>Navn:</t>
        </is>
      </c>
      <c r="B134" s="84" t="n"/>
      <c r="C134" s="84" t="n"/>
    </row>
    <row r="135" ht="15.6" customHeight="1">
      <c r="A135" s="36" t="n"/>
    </row>
    <row r="136" ht="15.6" customHeight="1">
      <c r="A136" s="37" t="inlineStr">
        <is>
          <t>CVR:</t>
        </is>
      </c>
      <c r="B136" s="84" t="n"/>
      <c r="C136" s="84" t="n"/>
    </row>
    <row r="138" ht="15.6" customHeight="1">
      <c r="A138" s="37" t="inlineStr">
        <is>
          <t>Kontakt:</t>
        </is>
      </c>
      <c r="B138" s="84" t="n"/>
      <c r="C138" s="84" t="n"/>
    </row>
    <row r="141" ht="15.6" customHeight="1">
      <c r="A141" s="83" t="inlineStr">
        <is>
          <t>Entreprenør (hvis kendt)</t>
        </is>
      </c>
    </row>
    <row r="142" ht="15.6" customHeight="1">
      <c r="A142" s="83" t="n"/>
    </row>
    <row r="143" ht="15.6" customHeight="1">
      <c r="A143" s="37" t="inlineStr">
        <is>
          <t>Navn:</t>
        </is>
      </c>
      <c r="B143" s="84" t="n"/>
      <c r="C143" s="84" t="n"/>
    </row>
    <row r="144" ht="15.6" customHeight="1">
      <c r="A144" s="36" t="n"/>
    </row>
    <row r="145" ht="15.6" customHeight="1">
      <c r="A145" s="37" t="inlineStr">
        <is>
          <t>CVR:</t>
        </is>
      </c>
      <c r="B145" s="84" t="n"/>
      <c r="C145" s="84" t="n"/>
    </row>
    <row r="147" ht="15.6" customHeight="1">
      <c r="A147" s="37" t="inlineStr">
        <is>
          <t>Kontakt:</t>
        </is>
      </c>
      <c r="B147" s="84" t="n"/>
      <c r="C147" s="84" t="n"/>
    </row>
  </sheetData>
  <mergeCells count="16">
    <mergeCell ref="A76:C76"/>
    <mergeCell ref="A68:C68"/>
    <mergeCell ref="A90:C90"/>
    <mergeCell ref="A116:C116"/>
    <mergeCell ref="A1:C1"/>
    <mergeCell ref="A93:C93"/>
    <mergeCell ref="A89:C89"/>
    <mergeCell ref="A14:C14"/>
    <mergeCell ref="A92:C92"/>
    <mergeCell ref="A91:C91"/>
    <mergeCell ref="A69:C69"/>
    <mergeCell ref="A15:C15"/>
    <mergeCell ref="A95:C95"/>
    <mergeCell ref="A73:C73"/>
    <mergeCell ref="A2:C2"/>
    <mergeCell ref="A72:C72"/>
  </mergeCells>
  <dataValidations disablePrompts="1" count="2">
    <dataValidation sqref="B114" showDropDown="0" showInputMessage="1" showErrorMessage="1" allowBlank="1" type="list">
      <formula1>"Fastpris, Medgået tid i ramme, Medgået tid"</formula1>
    </dataValidation>
    <dataValidation sqref="B111" showDropDown="0" showInputMessage="1" showErrorMessage="1" allowBlank="1" type="list">
      <formula1>"KK1, KK2, KK3, KK4"</formula1>
    </dataValidation>
  </dataValidations>
  <pageMargins left="0.7086614173228347" right="0.7086614173228347" top="0.984251968503937" bottom="0.7480314960629921" header="0.3149606299212598" footer="0.3149606299212598"/>
  <pageSetup orientation="portrait" scale="71" fitToHeight="0"/>
  <headerFooter>
    <oddHeader>&amp;L&amp;G_x000a_&amp;C&amp;"+,Normal"&amp;12 Kirke Værløsevej 103_x000a_Honoraroverslag med ramme&amp;R&amp;"+,Normal"&amp;12 Sagsnr: 202646_x000a_Dato: &amp;D_x000a_Init: JR</oddHeader>
    <oddFooter>&amp;L&amp;"+,Regular"Holst Engineering ApS_x000a_Siljangade 1, G11 – 2300 København S&amp;C&amp;"+,Regular"CVR: 42 36 89 46&amp;R&amp;"+,Regular"Telefon: 53 85 25 34_x000a_Mail: info@hlen.dk</oddFooter>
    <evenHeader/>
    <evenFooter/>
    <firstHeader/>
    <firstFooter/>
  </headerFooter>
  <rowBreaks count="2" manualBreakCount="2">
    <brk id="65" min="0" max="16383" man="1"/>
    <brk id="9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Rasmus Kristian Holst</dc:creator>
  <dcterms:created xsi:type="dcterms:W3CDTF">2022-04-20T06:29:46Z</dcterms:created>
  <dcterms:modified xsi:type="dcterms:W3CDTF">2026-10-01T10:00:09Z</dcterms:modified>
  <cp:lastModifiedBy>Niels Christian Jakobsen</cp:lastModifiedBy>
  <cp:lastPrinted>2026-09-16T12:22:23Z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0x010100C12F66741BCE4B46A83059AD144AE319</vt:lpwstr>
  </property>
  <property name="MediaServiceImageTags" fmtid="{D5CDD505-2E9C-101B-9397-08002B2CF9AE}" pid="3">
    <vt:lpwstr/>
  </property>
</Properties>
</file>